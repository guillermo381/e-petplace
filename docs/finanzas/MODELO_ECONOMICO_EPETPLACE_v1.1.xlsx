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Parametros" sheetId="2" state="visible" r:id="rId4"/>
    <sheet name="UE_Hoy" sheetId="3" state="visible" r:id="rId5"/>
    <sheet name="UE_Propuesta" sheetId="4" state="visible" r:id="rId6"/>
    <sheet name="PyL_mensual" sheetId="5" state="visible" r:id="rId7"/>
    <sheet name="Caja_reten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<sst xmlns="http://schemas.openxmlformats.org/spreadsheetml/2006/main" count="290" uniqueCount="211">
  <si>
    <t xml:space="preserve">CÓMO USAR ESTE MODELO</t>
  </si>
  <si>
    <t xml:space="preserve">1. Todo lo editable está en Parametros, en azul. Lo amarillo es SUPUESTO: reemplazalo por el dato real y el modelo entero se recalcula.</t>
  </si>
  <si>
    <t xml:space="preserve">2. UE_Hoy y UE_Propuesta muestran cada vertical por transacción. La columna que importa es CONTRIBUCIÓN: lo que queda después del riel y los variables.</t>
  </si>
  <si>
    <t xml:space="preserve">3. PyL_mensual aplica los volúmenes del mes 1 (azul) con la tasa de crecimiento. Los fijos cambian por fase (fila 4: 1 = F&amp;F, 2 = Operación). El sueldo del founder va en B56/C56 de Parametros (0 = lo asume aparte). Prime y plan del prestador en filas 57–58.</t>
  </si>
  <si>
    <t xml:space="preserve">4. Caja_retenciones muestra la plata que las tarjetas retienen y que vuelve meses después. No es pérdida: es capital de trabajo que hay que tener.</t>
  </si>
  <si>
    <t xml:space="preserve">LO QUE SE VERIFICÓ Y LO QUE NO</t>
  </si>
  <si>
    <t xml:space="preserve">Verificado en la calculadora de Nuvei: comisiones bancarias por tipo de tarjeta, tarifa Nuvei, 3DS, IVA sobre Nuvei, retención renta 2 %, retención IVA 30/70.</t>
  </si>
  <si>
    <t xml:space="preserve">Verificado en fuentes públicas: retención IVA 30 % bienes / 70 % servicios por emisoras de tarjeta; régimen de mercados en línea (Res. NAC-DGERCGC21-00000026); RIMPE sobre bruto; exclusión de comisionistas del RIMPE.</t>
  </si>
  <si>
    <t xml:space="preserve">SUPUESTO (amarillo): costo de DeUna y si retiene; mezcla de medios de pago; tickets; costos variables; costos fijos; % de prestadores que facturan con IVA; volúmenes.</t>
  </si>
  <si>
    <t xml:space="preserve">CONVENCIÓN DE COLORES: azul = input · negro = fórmula · verde = referencia a otra hoja · amarillo = supuesto a confirmar.</t>
  </si>
  <si>
    <t xml:space="preserve">PARÁMETROS — Modelo económico e-PetPlace v1 · 10-sep-2026</t>
  </si>
  <si>
    <t xml:space="preserve">Azul = dato de entrada (editable). Negro = fórmula. Verde = viene de otra hoja. Amarillo = SUPUESTO que el founder debe confirmar o corregir.</t>
  </si>
  <si>
    <t xml:space="preserve">Riel de pago</t>
  </si>
  <si>
    <t xml:space="preserve">% banco (incl. IVA)</t>
  </si>
  <si>
    <t xml:space="preserve">% Nuvei (sin IVA)</t>
  </si>
  <si>
    <t xml:space="preserve">Fijo Nuvei $ (sin IVA)</t>
  </si>
  <si>
    <t xml:space="preserve">Costo total % (incl. IVA)</t>
  </si>
  <si>
    <t xml:space="preserve">Fijo total $ (incl. IVA)</t>
  </si>
  <si>
    <t xml:space="preserve">IVA recuperable %</t>
  </si>
  <si>
    <t xml:space="preserve">IVA recuperable fijo $</t>
  </si>
  <si>
    <t xml:space="preserve">Retiene renta (1/0)</t>
  </si>
  <si>
    <t xml:space="preserve">Retiene IVA (1/0)</t>
  </si>
  <si>
    <t xml:space="preserve">Fuente</t>
  </si>
  <si>
    <t xml:space="preserve">Crédito corriente</t>
  </si>
  <si>
    <t xml:space="preserve">Calculadora Nuvei — Costos del Servicio (hoja Corriente TC): 4,62% banco incl. IVA + 1,50% Nuvei + $0,04 3DS + IVA 15% sobre Nuvei</t>
  </si>
  <si>
    <t xml:space="preserve">Débito</t>
  </si>
  <si>
    <t xml:space="preserve">Calculadora Nuvei (hoja Corriente TD): 2,30% + 0,50% + $0,04 + IVA</t>
  </si>
  <si>
    <t xml:space="preserve">DeUna (transferencia)</t>
  </si>
  <si>
    <t xml:space="preserve">Dato del founder (10-sep-2026, Carlos Ochoa/DeUna): 2 % + IVA. Pendiente confirmar si practica retención de renta e IVA.</t>
  </si>
  <si>
    <t xml:space="preserve">Diferido 3 meses sin intereses (referencia, fuera de la mezcla)</t>
  </si>
  <si>
    <t xml:space="preserve">Calculadora Nuvei (hoja Diferido sin intereses)</t>
  </si>
  <si>
    <t xml:space="preserve">Mezcla de medios de pago (escenario)</t>
  </si>
  <si>
    <t xml:space="preserve">%</t>
  </si>
  <si>
    <t xml:space="preserve">SUPUESTO de lanzamiento. El i05 de la casa no mide esto: se ajusta con la mezcla real del primer mes.</t>
  </si>
  <si>
    <t xml:space="preserve">DeUna</t>
  </si>
  <si>
    <t xml:space="preserve">Suma (debe ser 100 %)</t>
  </si>
  <si>
    <t xml:space="preserve">Costo riel ponderado % (incl. IVA)</t>
  </si>
  <si>
    <t xml:space="preserve">Fijo ponderado $ (incl. IVA)</t>
  </si>
  <si>
    <t xml:space="preserve">IVA recuperable ponderado %</t>
  </si>
  <si>
    <t xml:space="preserve">IVA recuperable fijo ponderado $</t>
  </si>
  <si>
    <t xml:space="preserve">Impuestos</t>
  </si>
  <si>
    <t xml:space="preserve">Valor</t>
  </si>
  <si>
    <t xml:space="preserve">IVA tarifa general</t>
  </si>
  <si>
    <t xml:space="preserve">LRTI</t>
  </si>
  <si>
    <t xml:space="preserve">Retención renta que practican las emisoras de tarjeta (sobre base sin IVA)</t>
  </si>
  <si>
    <t xml:space="preserve">Res. NAC-DGERCGC26-00000009 (mar-2026); calculadora Nuvei</t>
  </si>
  <si>
    <t xml:space="preserve">Retención IVA tarjetas — bienes (sobre el IVA)</t>
  </si>
  <si>
    <t xml:space="preserve">Tabla de retención de IVA (emisoras a establecimientos afiliados)</t>
  </si>
  <si>
    <t xml:space="preserve">Retención IVA tarjetas — servicios y comisiones (sobre el IVA)</t>
  </si>
  <si>
    <t xml:space="preserve">Ídem</t>
  </si>
  <si>
    <t xml:space="preserve">Impuesto a la renta régimen general (sobre utilidad)</t>
  </si>
  <si>
    <t xml:space="preserve">LRTI sociedades</t>
  </si>
  <si>
    <t xml:space="preserve">RIMPE Emprendedor (sobre ingreso BRUTO, tramo 100–200k, referencial)</t>
  </si>
  <si>
    <t xml:space="preserve">Tabla RIMPE — hoy Satori Inov está en RIMPE (RUC 14-ago-2026); salir es decisión firmada</t>
  </si>
  <si>
    <t xml:space="preserve">Share de la mezcla que retiene renta</t>
  </si>
  <si>
    <t xml:space="preserve">fórmula</t>
  </si>
  <si>
    <t xml:space="preserve">Share de la mezcla que retiene IVA</t>
  </si>
  <si>
    <t xml:space="preserve">% prestadores de SERVICIO que facturan con IVA (dan crédito a Satori)</t>
  </si>
  <si>
    <t xml:space="preserve">SUPUESTO — sale del relevamiento de la cohorte</t>
  </si>
  <si>
    <t xml:space="preserve">% vendedores de DESPENSA que facturan con IVA</t>
  </si>
  <si>
    <t xml:space="preserve">SUPUESTO</t>
  </si>
  <si>
    <t xml:space="preserve">Costos variables por transacción</t>
  </si>
  <si>
    <t xml:space="preserve">Mensajes WhatsApp (utility) por transacción</t>
  </si>
  <si>
    <t xml:space="preserve">SUPUESTO: reserva + recordatorio + en camino + cierre + factura</t>
  </si>
  <si>
    <t xml:space="preserve">Costo por mensaje utility ($)</t>
  </si>
  <si>
    <t xml:space="preserve">SUPUESTO — tarifa Meta para Ecuador; confirmar en el panel de WhatsApp</t>
  </si>
  <si>
    <t xml:space="preserve">Factura electrónica por documento ($)</t>
  </si>
  <si>
    <t xml:space="preserve">epetplace-facturacion-sri.md §9 (mercado ~0,05)</t>
  </si>
  <si>
    <t xml:space="preserve">IA (NEXO) por transacción ($)</t>
  </si>
  <si>
    <t xml:space="preserve">SUPUESTO — medir con el costo real de Anthropic del mes</t>
  </si>
  <si>
    <t xml:space="preserve">Reserva devoluciones y contracargos (% del total cobrado)</t>
  </si>
  <si>
    <t xml:space="preserve">SUPUESTO prudente</t>
  </si>
  <si>
    <t xml:space="preserve">Costo variable fijo por transacción ($)</t>
  </si>
  <si>
    <t xml:space="preserve">Costos fijos mensuales ($) — SIN sueldo del founder</t>
  </si>
  <si>
    <t xml:space="preserve">F&amp;F (oct–dic 2026)</t>
  </si>
  <si>
    <t xml:space="preserve">Operación (desde ene-2027)</t>
  </si>
  <si>
    <t xml:space="preserve">Fuente / nota</t>
  </si>
  <si>
    <t xml:space="preserve">Infra: Supabase (Pro + compute + branching), Vercel Pro, EAS Production, Resend, Sentry, dominios, CDN</t>
  </si>
  <si>
    <t xml:space="preserve">SUPUESTO — reemplazar por facturas</t>
  </si>
  <si>
    <t xml:space="preserve">IA: Anthropic API en producción (NEXO, edges) + suscripciones Claude (metodología dual)</t>
  </si>
  <si>
    <t xml:space="preserve">SUPUESTO — hoy es el costo de construir; luego el de operar</t>
  </si>
  <si>
    <t xml:space="preserve">Herramientas: GitHub, Figma, Google Workspace, Apple/Google dev, WhatsApp Business/líneas, mapas y geocoding, SMS OTP</t>
  </si>
  <si>
    <t xml:space="preserve">Facturación electrónica (plan) + firma electrónica</t>
  </si>
  <si>
    <t xml:space="preserve">Proveedor ~$25–50/mes + p12 prorrateado</t>
  </si>
  <si>
    <t xml:space="preserve">Contabilidad y cumplimiento (IVA mensual, ATS, retenciones, conciliación fiscal)</t>
  </si>
  <si>
    <t xml:space="preserve">SUPUESTO — cotizar con la firma contable</t>
  </si>
  <si>
    <t xml:space="preserve">Legal (contratos de reventa/mandato, T&amp;C, protección de datos) — amortizado</t>
  </si>
  <si>
    <t xml:space="preserve">Superintendencia, patente municipal, 1,5 por mil, trámites SRI</t>
  </si>
  <si>
    <t xml:space="preserve">Seguro de responsabilidad civil (mascota lastimada en un paseo)</t>
  </si>
  <si>
    <t xml:space="preserve">SUPUESTO — cotizar; es condición de operar</t>
  </si>
  <si>
    <t xml:space="preserve">Comisiones bancarias por payouts a prestadores y cuenta</t>
  </si>
  <si>
    <t xml:space="preserve">~$0,50–1 por transferencia</t>
  </si>
  <si>
    <t xml:space="preserve">Soporte y operaciones (persona, cargada con beneficios)</t>
  </si>
  <si>
    <t xml:space="preserve">F&amp;F lo hace el founder; desde enero, una persona</t>
  </si>
  <si>
    <t xml:space="preserve">Comercial de campo: captación y onboarding de prestadores (medio tiempo)</t>
  </si>
  <si>
    <t xml:space="preserve">Rol tipo Sebastián</t>
  </si>
  <si>
    <t xml:space="preserve">Marketing: adquisición pagada (CAC ~$25 por familia que compra)</t>
  </si>
  <si>
    <t xml:space="preserve">60 familias nuevas/mes</t>
  </si>
  <si>
    <t xml:space="preserve">Marketing: promociones, referidos, contenido, eventos con clínicas y refugios</t>
  </si>
  <si>
    <t xml:space="preserve">F&amp;F: solo promos a la cohorte</t>
  </si>
  <si>
    <t xml:space="preserve">Contingencia 10 %</t>
  </si>
  <si>
    <t xml:space="preserve">TOTAL costos fijos sin founder</t>
  </si>
  <si>
    <t xml:space="preserve">Sueldo founder de mercado (0 = lo asume aparte, como pidió el founder)</t>
  </si>
  <si>
    <t xml:space="preserve">Ingresos NO transaccionales — Prime familia: precio mensual ($, incl. IVA) / familias Prime en el mes 1 de operación / crecimiento mensual</t>
  </si>
  <si>
    <t xml:space="preserve">Se encienden a partir de la fase Operación (mes 4). Poné C57/C58 en 0 para verlo sin suscripciones.</t>
  </si>
  <si>
    <t xml:space="preserve">Ingresos NO transaccionales — Plan del prestador: precio mensual ($, incl. IVA) / prestadores con plan en el mes 1 / crecimiento</t>
  </si>
  <si>
    <t xml:space="preserve">Vertical</t>
  </si>
  <si>
    <t xml:space="preserve">Modelo</t>
  </si>
  <si>
    <t xml:space="preserve">Bien (B) / Servicio (S)</t>
  </si>
  <si>
    <t xml:space="preserve">Tarifa IVA del ítem</t>
  </si>
  <si>
    <t xml:space="preserve">Ticket base sin IVA ($)</t>
  </si>
  <si>
    <t xml:space="preserve">Comisión HOY</t>
  </si>
  <si>
    <t xml:space="preserve">Comisión PROPUESTA</t>
  </si>
  <si>
    <t xml:space="preserve">Mínimo propuesto ($)</t>
  </si>
  <si>
    <t xml:space="preserve">Tarifa de servicio familia PROPUESTA ($ incl. IVA)</t>
  </si>
  <si>
    <t xml:space="preserve">Tarifa de servicio HOY ($)</t>
  </si>
  <si>
    <t xml:space="preserve">Nota</t>
  </si>
  <si>
    <t xml:space="preserve">Paseo</t>
  </si>
  <si>
    <t xml:space="preserve">reventa</t>
  </si>
  <si>
    <t xml:space="preserve">S</t>
  </si>
  <si>
    <t xml:space="preserve">Ticket típico Quito (supuesto)</t>
  </si>
  <si>
    <t xml:space="preserve">Grooming</t>
  </si>
  <si>
    <t xml:space="preserve">Guardería (día)</t>
  </si>
  <si>
    <t xml:space="preserve">Adiestramiento (sesión)</t>
  </si>
  <si>
    <t xml:space="preserve">Veterinaria consulta</t>
  </si>
  <si>
    <t xml:space="preserve">agencia</t>
  </si>
  <si>
    <t xml:space="preserve">Tarifa 0% condicionada a F1; en agencia la comisión lleva IVA 15% que la clínica no recupera si vende a 0%</t>
  </si>
  <si>
    <t xml:space="preserve">Telemedicina</t>
  </si>
  <si>
    <t xml:space="preserve">Despensa — alimento balanceado</t>
  </si>
  <si>
    <t xml:space="preserve">B</t>
  </si>
  <si>
    <t xml:space="preserve">Envío cobrado aparte a la familia al costo (no modelado)</t>
  </si>
  <si>
    <t xml:space="preserve">Despensa — snack / accesorio</t>
  </si>
  <si>
    <t xml:space="preserve">Comisión 15 % firmada por el founder (S115)</t>
  </si>
  <si>
    <t xml:space="preserve">Paquete 10 paseos (prepago)</t>
  </si>
  <si>
    <t xml:space="preserve">Un solo cobro por 10 servicios: el riel se paga una vez</t>
  </si>
  <si>
    <t xml:space="preserve">UNIT ECONOMICS por transacción — HOY (10 %, sin tarifa de servicio)</t>
  </si>
  <si>
    <t xml:space="preserve">Una fila por vertical. Todo viene de Parametros. Contribución = ingreso de Satori − riel neto de IVA − costos variables. Las columnas de caja muestran lo que las tarjetas retienen y lo que queda atrapado.</t>
  </si>
  <si>
    <t xml:space="preserve">B/S</t>
  </si>
  <si>
    <t xml:space="preserve">Tarifa IVA</t>
  </si>
  <si>
    <t xml:space="preserve">Ticket base ($)</t>
  </si>
  <si>
    <t xml:space="preserve">IVA ítem ($)</t>
  </si>
  <si>
    <t xml:space="preserve">Tarifa servicio incl. IVA ($)</t>
  </si>
  <si>
    <t xml:space="preserve">Tarifa servicio base ($)</t>
  </si>
  <si>
    <t xml:space="preserve">IVA tarifa ($)</t>
  </si>
  <si>
    <t xml:space="preserve">TOTAL que paga la familia ($)</t>
  </si>
  <si>
    <t xml:space="preserve">Comisión %</t>
  </si>
  <si>
    <t xml:space="preserve">Comisión $</t>
  </si>
  <si>
    <t xml:space="preserve">INGRESO SATORI base ($)</t>
  </si>
  <si>
    <t xml:space="preserve">Costo riel incl. IVA ($)</t>
  </si>
  <si>
    <t xml:space="preserve">IVA recuperable riel ($)</t>
  </si>
  <si>
    <t xml:space="preserve">Costo riel NETO ($)</t>
  </si>
  <si>
    <t xml:space="preserve">Costos variables ($)</t>
  </si>
  <si>
    <t xml:space="preserve">CONTRIBUCIÓN ($)</t>
  </si>
  <si>
    <t xml:space="preserve">Contribución % del ticket</t>
  </si>
  <si>
    <t xml:space="preserve">Neto que recibe / factura el prestador ($)</t>
  </si>
  <si>
    <t xml:space="preserve">Retención renta (caja) ($)</t>
  </si>
  <si>
    <t xml:space="preserve">Retención IVA (caja) ($)</t>
  </si>
  <si>
    <t xml:space="preserve">IVA por pagar antes de retenciones ($)</t>
  </si>
  <si>
    <t xml:space="preserve">Exceso de retención IVA atrapado ($)</t>
  </si>
  <si>
    <t xml:space="preserve">IVA a pagar en efectivo ($)</t>
  </si>
  <si>
    <t xml:space="preserve">Lectura: la contribución es lo que queda para pagar los costos fijos y al founder. Con riel 100 % tarjeta de crédito, cambiá la mezcla en Parametros y mirá esta columna.</t>
  </si>
  <si>
    <t xml:space="preserve">Simplificaciones declaradas: el IVA del riel se toma recuperable solo cuando el ítem está gravado (proporcionalidad aproximada); en agencia la retención sobre la parte de la clínica se neutraliza porque Satori re-retiene a la clínica (régimen de mercados en línea) y no se muestra; el envío de despensa no está modelado.</t>
  </si>
  <si>
    <t xml:space="preserve">UNIT ECONOMICS por transacción — PROPUESTA (comisión por vertical + mínimo + tarifa de servicio)</t>
  </si>
  <si>
    <t xml:space="preserve">P&amp;L MENSUAL — 12 meses desde el lanzamiento (oct-2026 → sep-2027)</t>
  </si>
  <si>
    <t xml:space="preserve">Volúmenes del mes 1 en azul (SUPUESTO F&amp;F); los meses siguientes crecen con la tasa de B3. Dos bloques: HOY vs PROPUESTA, sobre los mismos volúmenes.</t>
  </si>
  <si>
    <t xml:space="preserve">Crecimiento mensual del volumen</t>
  </si>
  <si>
    <t xml:space="preserve">Fase del mes (1 = F&amp;F, 2 = Operación)</t>
  </si>
  <si>
    <t xml:space="preserve">Transacciones por vertical</t>
  </si>
  <si>
    <t xml:space="preserve">Mes 1 (input)</t>
  </si>
  <si>
    <t xml:space="preserve">oct-26</t>
  </si>
  <si>
    <t xml:space="preserve">nov-26</t>
  </si>
  <si>
    <t xml:space="preserve">dic-26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</si>
  <si>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</si>
  <si>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</si>
  <si>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</si>
  <si>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</si>
  <si>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</si>
  <si>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</si>
  <si>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</si>
  <si>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</si>
  <si>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</si>
  <si>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Total transacciones</t>
  </si>
  <si>
    <t xml:space="preserve">ESCENARIO HOY — comisión 10 %, sin tarifa de servicio</t>
  </si>
  <si>
    <t xml:space="preserve">GMV — total pagado por las familias ($)</t>
  </si>
  <si>
    <t xml:space="preserve">Ingreso de Satori (comisiones + tarifa de servicio, base) ($)</t>
  </si>
  <si>
    <t xml:space="preserve">Costo del riel neto de IVA ($)</t>
  </si>
  <si>
    <t xml:space="preserve">CONTRIBUCIÓN transaccional + suscripciones ($)</t>
  </si>
  <si>
    <t xml:space="preserve">Costos fijos del escenario ($)</t>
  </si>
  <si>
    <t xml:space="preserve">EBITDA ($)</t>
  </si>
  <si>
    <t xml:space="preserve">EBITDA acumulado ($)</t>
  </si>
  <si>
    <t xml:space="preserve">Take rate efectivo (ingreso / GMV)</t>
  </si>
  <si>
    <t xml:space="preserve">Margen de contribución (contribución / GMV)</t>
  </si>
  <si>
    <t xml:space="preserve">Transacciones necesarias para cubrir los fijos (break-even)</t>
  </si>
  <si>
    <t xml:space="preserve">ESCENARIO PROPUESTA — comisión por vertical, mínimo por transacción, tarifa de servicio</t>
  </si>
  <si>
    <t xml:space="preserve">Ingresos NO transaccionales (base sin IVA) — solo en fase Operación</t>
  </si>
  <si>
    <t xml:space="preserve">Familias Prime (acumuladas)</t>
  </si>
  <si>
    <t xml:space="preserve">Prestadores con plan (acumulados)</t>
  </si>
  <si>
    <t xml:space="preserve">Ingreso por suscripciones ($, base sin IVA)</t>
  </si>
  <si>
    <t xml:space="preserve">CAJA — lo que las tarjetas retienen y cuánto queda atrapado (escenario PROPUESTA)</t>
  </si>
  <si>
    <t xml:space="preserve">Las retenciones no son costo: son crédito contra impuestos. Pero salen de la caja el día del cobro y vuelven meses después. El exceso de IVA retenido es recuperable por devolución cuando no se compensa en 6 meses (Art. 69 LRTI) — acá se modela recuperación a los 7 meses.</t>
  </si>
  <si>
    <t xml:space="preserve">Concepto</t>
  </si>
  <si>
    <t xml:space="preserve">Retención renta 2 % (crédito contra renta) ($)</t>
  </si>
  <si>
    <t xml:space="preserve">Retención IVA por tarjetas ($)</t>
  </si>
  <si>
    <t xml:space="preserve">IVA por pagar de Satori antes de retenciones ($)</t>
  </si>
  <si>
    <t xml:space="preserve">Exceso de IVA retenido en el mes ($)</t>
  </si>
  <si>
    <t xml:space="preserve">IVA que Satori paga en efectivo en el mes ($)</t>
  </si>
  <si>
    <t xml:space="preserve">Exceso IVA acumulado ($)</t>
  </si>
  <si>
    <t xml:space="preserve">Recuperación por devolución (exceso de hace 7 meses) ($)</t>
  </si>
  <si>
    <t xml:space="preserve">IVA atrapado neto ($)</t>
  </si>
  <si>
    <t xml:space="preserve">Renta retenida acumulada — crédito contra el ejercicio; con pérdida, saldo a reclamar ($)</t>
  </si>
  <si>
    <t xml:space="preserve">CAJA ATRAPADA TOTAL ($)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</si>
</sst>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.00;&quot;($&quot;#,##0.00\);\-"/>
    <numFmt numFmtId="167" formatCode="0.0%"/>
    <numFmt numFmtId="168" formatCode="#,##0;\(#,##0\);\-"/>
    <numFmt numFmtId="169" formatCode="\$#,##0.000"/>
    <numFmt numFmtId="170" formatCode="\$#,##0;&quot;($&quot;#,##0\);\-"/>
    <numFmt numFmtId="171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/>
    </row>
    <row r="7" customFormat="false" ht="16.15" hidden="false" customHeight="false" outlineLevel="0" collapsed="false">
      <c r="A7" s="1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60"/>
  </cols>
  <sheetData>
    <row r="1" customFormat="false" ht="16.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35.0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customFormat="false" ht="15" hidden="false" customHeight="false" outlineLevel="0" collapsed="false">
      <c r="A5" s="2" t="s">
        <v>23</v>
      </c>
      <c r="B5" s="4" t="n">
        <v>0.0462</v>
      </c>
      <c r="C5" s="4" t="n">
        <v>0.015</v>
      </c>
      <c r="D5" s="5" t="n">
        <v>0.04</v>
      </c>
      <c r="E5" s="6" t="n">
        <f aca="false">B5+C5*(1+$B$21)</f>
        <v>0.06345</v>
      </c>
      <c r="F5" s="7" t="n">
        <f aca="false">D5*(1+$B$21)</f>
        <v>0.046</v>
      </c>
      <c r="G5" s="6" t="n">
        <f aca="false">B5*$B$21/(1+$B$21)+C5*$B$21</f>
        <v>0.00827608695652174</v>
      </c>
      <c r="H5" s="7" t="n">
        <f aca="false">D5*$B$21</f>
        <v>0.006</v>
      </c>
      <c r="I5" s="8" t="n">
        <v>1</v>
      </c>
      <c r="J5" s="8" t="n">
        <v>1</v>
      </c>
      <c r="K5" s="2" t="s">
        <v>24</v>
      </c>
    </row>
    <row r="6" customFormat="false" ht="15" hidden="false" customHeight="false" outlineLevel="0" collapsed="false">
      <c r="A6" s="2" t="s">
        <v>25</v>
      </c>
      <c r="B6" s="4" t="n">
        <v>0.023</v>
      </c>
      <c r="C6" s="4" t="n">
        <v>0.005</v>
      </c>
      <c r="D6" s="5" t="n">
        <v>0.04</v>
      </c>
      <c r="E6" s="6" t="n">
        <f aca="false">B6+C6*(1+$B$21)</f>
        <v>0.02875</v>
      </c>
      <c r="F6" s="7" t="n">
        <f aca="false">D6*(1+$B$21)</f>
        <v>0.046</v>
      </c>
      <c r="G6" s="6" t="n">
        <f aca="false">B6*$B$21/(1+$B$21)+C6*$B$21</f>
        <v>0.00375</v>
      </c>
      <c r="H6" s="7" t="n">
        <f aca="false">D6*$B$21</f>
        <v>0.006</v>
      </c>
      <c r="I6" s="8" t="n">
        <v>1</v>
      </c>
      <c r="J6" s="8" t="n">
        <v>1</v>
      </c>
      <c r="K6" s="2" t="s">
        <v>26</v>
      </c>
    </row>
    <row r="7" customFormat="false" ht="15" hidden="false" customHeight="false" outlineLevel="0" collapsed="false">
      <c r="A7" s="2" t="s">
        <v>27</v>
      </c>
      <c r="B7" s="9" t="n">
        <v>0</v>
      </c>
      <c r="C7" s="4" t="n">
        <v>0.02</v>
      </c>
      <c r="D7" s="5" t="n">
        <v>0</v>
      </c>
      <c r="E7" s="6" t="n">
        <f aca="false">B7+C7*(1+$B$21)</f>
        <v>0.023</v>
      </c>
      <c r="F7" s="7" t="n">
        <f aca="false">D7*(1+$B$21)</f>
        <v>0</v>
      </c>
      <c r="G7" s="6" t="n">
        <f aca="false">B7*$B$21/(1+$B$21)+C7*$B$21</f>
        <v>0.003</v>
      </c>
      <c r="H7" s="7" t="n">
        <f aca="false">D7*$B$21</f>
        <v>0</v>
      </c>
      <c r="I7" s="10" t="n">
        <v>0</v>
      </c>
      <c r="J7" s="10" t="n">
        <v>0</v>
      </c>
      <c r="K7" s="2" t="s">
        <v>28</v>
      </c>
    </row>
    <row r="8" customFormat="false" ht="15" hidden="false" customHeight="false" outlineLevel="0" collapsed="false">
      <c r="A8" s="2" t="s">
        <v>29</v>
      </c>
      <c r="B8" s="4" t="n">
        <v>0.06</v>
      </c>
      <c r="C8" s="4" t="n">
        <v>0.015</v>
      </c>
      <c r="D8" s="5" t="n">
        <v>0.04</v>
      </c>
      <c r="E8" s="6" t="n">
        <f aca="false">B8+C8*(1+$B$21)</f>
        <v>0.07725</v>
      </c>
      <c r="F8" s="7" t="n">
        <f aca="false">D8*(1+$B$21)</f>
        <v>0.046</v>
      </c>
      <c r="G8" s="6" t="n">
        <f aca="false">B8*$B$21/(1+$B$21)+C8*$B$21</f>
        <v>0.0100760869565217</v>
      </c>
      <c r="H8" s="7" t="n">
        <f aca="false">D8*$B$21</f>
        <v>0.006</v>
      </c>
      <c r="I8" s="8" t="n">
        <v>1</v>
      </c>
      <c r="J8" s="8" t="n">
        <v>1</v>
      </c>
      <c r="K8" s="2" t="s">
        <v>30</v>
      </c>
    </row>
    <row r="10" customFormat="false" ht="15" hidden="false" customHeight="false" outlineLevel="0" collapsed="false">
      <c r="A10" s="3" t="s">
        <v>31</v>
      </c>
      <c r="B10" s="3" t="s">
        <v>32</v>
      </c>
    </row>
    <row r="11" customFormat="false" ht="15" hidden="false" customHeight="false" outlineLevel="0" collapsed="false">
      <c r="A11" s="2" t="s">
        <v>23</v>
      </c>
      <c r="B11" s="11" t="n">
        <v>0.45</v>
      </c>
      <c r="C11" s="2" t="s">
        <v>33</v>
      </c>
    </row>
    <row r="12" customFormat="false" ht="15" hidden="false" customHeight="false" outlineLevel="0" collapsed="false">
      <c r="A12" s="2" t="s">
        <v>25</v>
      </c>
      <c r="B12" s="11" t="n">
        <v>0.15</v>
      </c>
    </row>
    <row r="13" customFormat="false" ht="15" hidden="false" customHeight="false" outlineLevel="0" collapsed="false">
      <c r="A13" s="2" t="s">
        <v>34</v>
      </c>
      <c r="B13" s="11" t="n">
        <v>0.4</v>
      </c>
    </row>
    <row r="14" customFormat="false" ht="15" hidden="false" customHeight="false" outlineLevel="0" collapsed="false">
      <c r="A14" s="2" t="s">
        <v>35</v>
      </c>
      <c r="B14" s="12" t="n">
        <f aca="false">SUM(B11:B13)</f>
        <v>1</v>
      </c>
    </row>
    <row r="15" customFormat="false" ht="15" hidden="false" customHeight="false" outlineLevel="0" collapsed="false">
      <c r="A15" s="2" t="s">
        <v>36</v>
      </c>
      <c r="B15" s="6" t="n">
        <f aca="false">B11*E5+B12*E6+B13*E7</f>
        <v>0.042065</v>
      </c>
    </row>
    <row r="16" customFormat="false" ht="15" hidden="false" customHeight="false" outlineLevel="0" collapsed="false">
      <c r="A16" s="2" t="s">
        <v>37</v>
      </c>
      <c r="B16" s="7" t="n">
        <f aca="false">B11*F5+B12*F6+B13*F7</f>
        <v>0.0276</v>
      </c>
    </row>
    <row r="17" customFormat="false" ht="15" hidden="false" customHeight="false" outlineLevel="0" collapsed="false">
      <c r="A17" s="2" t="s">
        <v>38</v>
      </c>
      <c r="B17" s="6" t="n">
        <f aca="false">B11*G5+B12*G6+B13*G7</f>
        <v>0.00548673913043478</v>
      </c>
    </row>
    <row r="18" customFormat="false" ht="15" hidden="false" customHeight="false" outlineLevel="0" collapsed="false">
      <c r="A18" s="2" t="s">
        <v>39</v>
      </c>
      <c r="B18" s="7" t="n">
        <f aca="false">B11*H5+B12*H6+B13*H7</f>
        <v>0.0036</v>
      </c>
    </row>
    <row r="20" customFormat="false" ht="15" hidden="false" customHeight="false" outlineLevel="0" collapsed="false">
      <c r="A20" s="3" t="s">
        <v>40</v>
      </c>
      <c r="B20" s="3" t="s">
        <v>41</v>
      </c>
      <c r="C20" s="3" t="s">
        <v>22</v>
      </c>
    </row>
    <row r="21" customFormat="false" ht="15" hidden="false" customHeight="false" outlineLevel="0" collapsed="false">
      <c r="A21" s="2" t="s">
        <v>42</v>
      </c>
      <c r="B21" s="4" t="n">
        <v>0.15</v>
      </c>
      <c r="C21" s="2" t="s">
        <v>43</v>
      </c>
    </row>
    <row r="22" customFormat="false" ht="15" hidden="false" customHeight="false" outlineLevel="0" collapsed="false">
      <c r="A22" s="2" t="s">
        <v>44</v>
      </c>
      <c r="B22" s="4" t="n">
        <v>0.02</v>
      </c>
      <c r="C22" s="2" t="s">
        <v>45</v>
      </c>
    </row>
    <row r="23" customFormat="false" ht="15" hidden="false" customHeight="false" outlineLevel="0" collapsed="false">
      <c r="A23" s="2" t="s">
        <v>46</v>
      </c>
      <c r="B23" s="4" t="n">
        <v>0.3</v>
      </c>
      <c r="C23" s="2" t="s">
        <v>47</v>
      </c>
    </row>
    <row r="24" customFormat="false" ht="15" hidden="false" customHeight="false" outlineLevel="0" collapsed="false">
      <c r="A24" s="2" t="s">
        <v>48</v>
      </c>
      <c r="B24" s="4" t="n">
        <v>0.7</v>
      </c>
      <c r="C24" s="2" t="s">
        <v>49</v>
      </c>
    </row>
    <row r="25" customFormat="false" ht="15" hidden="false" customHeight="false" outlineLevel="0" collapsed="false">
      <c r="A25" s="2" t="s">
        <v>50</v>
      </c>
      <c r="B25" s="4" t="n">
        <v>0.25</v>
      </c>
      <c r="C25" s="2" t="s">
        <v>51</v>
      </c>
    </row>
    <row r="26" customFormat="false" ht="15" hidden="false" customHeight="false" outlineLevel="0" collapsed="false">
      <c r="A26" s="2" t="s">
        <v>52</v>
      </c>
      <c r="B26" s="9" t="n">
        <v>0.0175</v>
      </c>
      <c r="C26" s="2" t="s">
        <v>53</v>
      </c>
    </row>
    <row r="27" customFormat="false" ht="15" hidden="false" customHeight="false" outlineLevel="0" collapsed="false">
      <c r="A27" s="2" t="s">
        <v>54</v>
      </c>
      <c r="B27" s="12" t="n">
        <f aca="false">B11*I5+B12*I6+B13*I7</f>
        <v>0.6</v>
      </c>
      <c r="C27" s="2" t="s">
        <v>55</v>
      </c>
    </row>
    <row r="28" customFormat="false" ht="15" hidden="false" customHeight="false" outlineLevel="0" collapsed="false">
      <c r="A28" s="2" t="s">
        <v>56</v>
      </c>
      <c r="B28" s="12" t="n">
        <f aca="false">B11*J5+B12*J6+B13*J7</f>
        <v>0.6</v>
      </c>
      <c r="C28" s="2" t="s">
        <v>55</v>
      </c>
    </row>
    <row r="29" customFormat="false" ht="15" hidden="false" customHeight="false" outlineLevel="0" collapsed="false">
      <c r="A29" s="2" t="s">
        <v>57</v>
      </c>
      <c r="B29" s="11" t="n">
        <v>0.5</v>
      </c>
      <c r="C29" s="2" t="s">
        <v>58</v>
      </c>
    </row>
    <row r="30" customFormat="false" ht="15" hidden="false" customHeight="false" outlineLevel="0" collapsed="false">
      <c r="A30" s="2" t="s">
        <v>59</v>
      </c>
      <c r="B30" s="11" t="n">
        <v>1</v>
      </c>
      <c r="C30" s="2" t="s">
        <v>60</v>
      </c>
    </row>
    <row r="32" customFormat="false" ht="15" hidden="false" customHeight="false" outlineLevel="0" collapsed="false">
      <c r="A32" s="3" t="s">
        <v>61</v>
      </c>
      <c r="B32" s="3" t="s">
        <v>41</v>
      </c>
      <c r="C32" s="3" t="s">
        <v>22</v>
      </c>
    </row>
    <row r="33" customFormat="false" ht="15" hidden="false" customHeight="false" outlineLevel="0" collapsed="false">
      <c r="A33" s="2" t="s">
        <v>62</v>
      </c>
      <c r="B33" s="13" t="n">
        <v>5</v>
      </c>
      <c r="C33" s="2" t="s">
        <v>63</v>
      </c>
    </row>
    <row r="34" customFormat="false" ht="15" hidden="false" customHeight="false" outlineLevel="0" collapsed="false">
      <c r="A34" s="2" t="s">
        <v>64</v>
      </c>
      <c r="B34" s="14" t="n">
        <v>0.01</v>
      </c>
      <c r="C34" s="2" t="s">
        <v>65</v>
      </c>
    </row>
    <row r="35" customFormat="false" ht="15" hidden="false" customHeight="false" outlineLevel="0" collapsed="false">
      <c r="A35" s="2" t="s">
        <v>66</v>
      </c>
      <c r="B35" s="15" t="n">
        <v>0.05</v>
      </c>
      <c r="C35" s="2" t="s">
        <v>67</v>
      </c>
    </row>
    <row r="36" customFormat="false" ht="15" hidden="false" customHeight="false" outlineLevel="0" collapsed="false">
      <c r="A36" s="2" t="s">
        <v>68</v>
      </c>
      <c r="B36" s="15" t="n">
        <v>0.02</v>
      </c>
      <c r="C36" s="2" t="s">
        <v>69</v>
      </c>
    </row>
    <row r="37" customFormat="false" ht="15" hidden="false" customHeight="false" outlineLevel="0" collapsed="false">
      <c r="A37" s="2" t="s">
        <v>70</v>
      </c>
      <c r="B37" s="11" t="n">
        <v>0.005</v>
      </c>
      <c r="C37" s="2" t="s">
        <v>71</v>
      </c>
    </row>
    <row r="38" customFormat="false" ht="15" hidden="false" customHeight="false" outlineLevel="0" collapsed="false">
      <c r="A38" s="2" t="s">
        <v>72</v>
      </c>
      <c r="B38" s="7" t="n">
        <f aca="false">B33*B34+B35+B36</f>
        <v>0.12</v>
      </c>
    </row>
    <row r="40" customFormat="false" ht="35.05" hidden="false" customHeight="false" outlineLevel="0" collapsed="false">
      <c r="A40" s="3" t="s">
        <v>73</v>
      </c>
      <c r="B40" s="3" t="s">
        <v>74</v>
      </c>
      <c r="C40" s="3" t="s">
        <v>75</v>
      </c>
      <c r="D40" s="3" t="s">
        <v>76</v>
      </c>
    </row>
    <row r="41" customFormat="false" ht="15" hidden="false" customHeight="false" outlineLevel="0" collapsed="false">
      <c r="A41" s="2" t="s">
        <v>77</v>
      </c>
      <c r="B41" s="16" t="n">
        <v>280</v>
      </c>
      <c r="C41" s="16" t="n">
        <v>330</v>
      </c>
      <c r="D41" s="2" t="s">
        <v>78</v>
      </c>
    </row>
    <row r="42" customFormat="false" ht="15" hidden="false" customHeight="false" outlineLevel="0" collapsed="false">
      <c r="A42" s="2" t="s">
        <v>79</v>
      </c>
      <c r="B42" s="16" t="n">
        <v>350</v>
      </c>
      <c r="C42" s="16" t="n">
        <v>500</v>
      </c>
      <c r="D42" s="2" t="s">
        <v>80</v>
      </c>
    </row>
    <row r="43" customFormat="false" ht="15" hidden="false" customHeight="false" outlineLevel="0" collapsed="false">
      <c r="A43" s="2" t="s">
        <v>81</v>
      </c>
      <c r="B43" s="16" t="n">
        <v>180</v>
      </c>
      <c r="C43" s="16" t="n">
        <v>250</v>
      </c>
      <c r="D43" s="2" t="s">
        <v>60</v>
      </c>
    </row>
    <row r="44" customFormat="false" ht="15" hidden="false" customHeight="false" outlineLevel="0" collapsed="false">
      <c r="A44" s="2" t="s">
        <v>82</v>
      </c>
      <c r="B44" s="16" t="n">
        <v>40</v>
      </c>
      <c r="C44" s="16" t="n">
        <v>60</v>
      </c>
      <c r="D44" s="2" t="s">
        <v>83</v>
      </c>
    </row>
    <row r="45" customFormat="false" ht="15" hidden="false" customHeight="false" outlineLevel="0" collapsed="false">
      <c r="A45" s="2" t="s">
        <v>84</v>
      </c>
      <c r="B45" s="16" t="n">
        <v>350</v>
      </c>
      <c r="C45" s="16" t="n">
        <v>450</v>
      </c>
      <c r="D45" s="2" t="s">
        <v>85</v>
      </c>
    </row>
    <row r="46" customFormat="false" ht="15" hidden="false" customHeight="false" outlineLevel="0" collapsed="false">
      <c r="A46" s="2" t="s">
        <v>86</v>
      </c>
      <c r="B46" s="16" t="n">
        <v>150</v>
      </c>
      <c r="C46" s="16" t="n">
        <v>150</v>
      </c>
      <c r="D46" s="2" t="s">
        <v>60</v>
      </c>
    </row>
    <row r="47" customFormat="false" ht="15" hidden="false" customHeight="false" outlineLevel="0" collapsed="false">
      <c r="A47" s="2" t="s">
        <v>87</v>
      </c>
      <c r="B47" s="16" t="n">
        <v>50</v>
      </c>
      <c r="C47" s="16" t="n">
        <v>50</v>
      </c>
      <c r="D47" s="2" t="s">
        <v>60</v>
      </c>
    </row>
    <row r="48" customFormat="false" ht="15" hidden="false" customHeight="false" outlineLevel="0" collapsed="false">
      <c r="A48" s="2" t="s">
        <v>88</v>
      </c>
      <c r="B48" s="16" t="n">
        <v>120</v>
      </c>
      <c r="C48" s="16" t="n">
        <v>150</v>
      </c>
      <c r="D48" s="2" t="s">
        <v>89</v>
      </c>
    </row>
    <row r="49" customFormat="false" ht="15" hidden="false" customHeight="false" outlineLevel="0" collapsed="false">
      <c r="A49" s="2" t="s">
        <v>90</v>
      </c>
      <c r="B49" s="16" t="n">
        <v>40</v>
      </c>
      <c r="C49" s="16" t="n">
        <v>80</v>
      </c>
      <c r="D49" s="2" t="s">
        <v>91</v>
      </c>
    </row>
    <row r="50" customFormat="false" ht="15" hidden="false" customHeight="false" outlineLevel="0" collapsed="false">
      <c r="A50" s="2" t="s">
        <v>92</v>
      </c>
      <c r="B50" s="16" t="n">
        <v>0</v>
      </c>
      <c r="C50" s="16" t="n">
        <v>900</v>
      </c>
      <c r="D50" s="2" t="s">
        <v>93</v>
      </c>
    </row>
    <row r="51" customFormat="false" ht="15" hidden="false" customHeight="false" outlineLevel="0" collapsed="false">
      <c r="A51" s="2" t="s">
        <v>94</v>
      </c>
      <c r="B51" s="16" t="n">
        <v>0</v>
      </c>
      <c r="C51" s="16" t="n">
        <v>600</v>
      </c>
      <c r="D51" s="2" t="s">
        <v>95</v>
      </c>
    </row>
    <row r="52" customFormat="false" ht="15" hidden="false" customHeight="false" outlineLevel="0" collapsed="false">
      <c r="A52" s="2" t="s">
        <v>96</v>
      </c>
      <c r="B52" s="16" t="n">
        <v>0</v>
      </c>
      <c r="C52" s="16" t="n">
        <v>1500</v>
      </c>
      <c r="D52" s="2" t="s">
        <v>97</v>
      </c>
    </row>
    <row r="53" customFormat="false" ht="15" hidden="false" customHeight="false" outlineLevel="0" collapsed="false">
      <c r="A53" s="2" t="s">
        <v>98</v>
      </c>
      <c r="B53" s="16" t="n">
        <v>200</v>
      </c>
      <c r="C53" s="16" t="n">
        <v>800</v>
      </c>
      <c r="D53" s="2" t="s">
        <v>99</v>
      </c>
    </row>
    <row r="54" customFormat="false" ht="15" hidden="false" customHeight="false" outlineLevel="0" collapsed="false">
      <c r="A54" s="2" t="s">
        <v>100</v>
      </c>
      <c r="B54" s="17" t="n">
        <f aca="false">SUM(B41:B53)*0.1</f>
        <v>176</v>
      </c>
      <c r="C54" s="17" t="n">
        <f aca="false">SUM(C41:C53)*0.1</f>
        <v>582</v>
      </c>
      <c r="D54" s="2" t="s">
        <v>55</v>
      </c>
    </row>
    <row r="55" customFormat="false" ht="15" hidden="false" customHeight="false" outlineLevel="0" collapsed="false">
      <c r="A55" s="2" t="s">
        <v>101</v>
      </c>
      <c r="B55" s="18" t="n">
        <f aca="false">SUM(B41:B54)</f>
        <v>1936</v>
      </c>
      <c r="C55" s="18" t="n">
        <f aca="false">SUM(C41:C54)</f>
        <v>6402</v>
      </c>
    </row>
    <row r="56" customFormat="false" ht="15" hidden="false" customHeight="false" outlineLevel="0" collapsed="false">
      <c r="A56" s="2" t="s">
        <v>102</v>
      </c>
      <c r="B56" s="16" t="n">
        <v>0</v>
      </c>
      <c r="C56" s="16" t="n">
        <v>0</v>
      </c>
    </row>
    <row r="57" customFormat="false" ht="15" hidden="false" customHeight="false" outlineLevel="0" collapsed="false">
      <c r="A57" s="2" t="s">
        <v>103</v>
      </c>
      <c r="B57" s="15" t="n">
        <v>4.99</v>
      </c>
      <c r="C57" s="13" t="n">
        <v>0</v>
      </c>
      <c r="D57" s="11" t="n">
        <v>0.2</v>
      </c>
      <c r="E57" s="2" t="s">
        <v>104</v>
      </c>
    </row>
    <row r="58" customFormat="false" ht="15" hidden="false" customHeight="false" outlineLevel="0" collapsed="false">
      <c r="A58" s="2" t="s">
        <v>105</v>
      </c>
      <c r="B58" s="15" t="n">
        <v>9.99</v>
      </c>
      <c r="C58" s="13" t="n">
        <v>0</v>
      </c>
      <c r="D58" s="11" t="n">
        <v>0.15</v>
      </c>
    </row>
    <row r="60" customFormat="false" ht="35.05" hidden="false" customHeight="false" outlineLevel="0" collapsed="false">
      <c r="A60" s="3" t="s">
        <v>106</v>
      </c>
      <c r="B60" s="3" t="s">
        <v>107</v>
      </c>
      <c r="C60" s="3" t="s">
        <v>108</v>
      </c>
      <c r="D60" s="3" t="s">
        <v>109</v>
      </c>
      <c r="E60" s="3" t="s">
        <v>110</v>
      </c>
      <c r="F60" s="3" t="s">
        <v>111</v>
      </c>
      <c r="G60" s="3" t="s">
        <v>112</v>
      </c>
      <c r="H60" s="3" t="s">
        <v>113</v>
      </c>
      <c r="I60" s="3" t="s">
        <v>114</v>
      </c>
      <c r="J60" s="3" t="s">
        <v>115</v>
      </c>
      <c r="K60" s="3" t="s">
        <v>116</v>
      </c>
    </row>
    <row r="62" customFormat="false" ht="15" hidden="false" customHeight="false" outlineLevel="0" collapsed="false">
      <c r="A62" s="2" t="s">
        <v>117</v>
      </c>
      <c r="B62" s="8" t="s">
        <v>118</v>
      </c>
      <c r="C62" s="8" t="s">
        <v>119</v>
      </c>
      <c r="D62" s="4" t="n">
        <v>0.15</v>
      </c>
      <c r="E62" s="15" t="n">
        <v>10</v>
      </c>
      <c r="F62" s="4" t="n">
        <v>0.1</v>
      </c>
      <c r="G62" s="9" t="n">
        <v>0.18</v>
      </c>
      <c r="H62" s="15" t="n">
        <v>1.5</v>
      </c>
      <c r="I62" s="15" t="n">
        <v>0.99</v>
      </c>
      <c r="J62" s="5" t="n">
        <v>0</v>
      </c>
      <c r="K62" s="2" t="s">
        <v>120</v>
      </c>
    </row>
    <row r="63" customFormat="false" ht="15" hidden="false" customHeight="false" outlineLevel="0" collapsed="false">
      <c r="A63" s="2" t="s">
        <v>121</v>
      </c>
      <c r="B63" s="8" t="s">
        <v>118</v>
      </c>
      <c r="C63" s="8" t="s">
        <v>119</v>
      </c>
      <c r="D63" s="4" t="n">
        <v>0.15</v>
      </c>
      <c r="E63" s="15" t="n">
        <v>25</v>
      </c>
      <c r="F63" s="4" t="n">
        <v>0.1</v>
      </c>
      <c r="G63" s="9" t="n">
        <v>0.18</v>
      </c>
      <c r="H63" s="15" t="n">
        <v>1.5</v>
      </c>
      <c r="I63" s="15" t="n">
        <v>0.99</v>
      </c>
      <c r="J63" s="5" t="n">
        <v>0</v>
      </c>
      <c r="K63" s="2"/>
    </row>
    <row r="64" customFormat="false" ht="15" hidden="false" customHeight="false" outlineLevel="0" collapsed="false">
      <c r="A64" s="2" t="s">
        <v>122</v>
      </c>
      <c r="B64" s="8" t="s">
        <v>118</v>
      </c>
      <c r="C64" s="8" t="s">
        <v>119</v>
      </c>
      <c r="D64" s="4" t="n">
        <v>0.15</v>
      </c>
      <c r="E64" s="15" t="n">
        <v>18</v>
      </c>
      <c r="F64" s="4" t="n">
        <v>0.1</v>
      </c>
      <c r="G64" s="9" t="n">
        <v>0.18</v>
      </c>
      <c r="H64" s="15" t="n">
        <v>1.5</v>
      </c>
      <c r="I64" s="15" t="n">
        <v>0.99</v>
      </c>
      <c r="J64" s="5" t="n">
        <v>0</v>
      </c>
      <c r="K64" s="2"/>
    </row>
    <row r="65" customFormat="false" ht="15" hidden="false" customHeight="false" outlineLevel="0" collapsed="false">
      <c r="A65" s="2" t="s">
        <v>123</v>
      </c>
      <c r="B65" s="8" t="s">
        <v>118</v>
      </c>
      <c r="C65" s="8" t="s">
        <v>119</v>
      </c>
      <c r="D65" s="4" t="n">
        <v>0.15</v>
      </c>
      <c r="E65" s="15" t="n">
        <v>20</v>
      </c>
      <c r="F65" s="4" t="n">
        <v>0.1</v>
      </c>
      <c r="G65" s="9" t="n">
        <v>0.18</v>
      </c>
      <c r="H65" s="15" t="n">
        <v>1.5</v>
      </c>
      <c r="I65" s="15" t="n">
        <v>0.99</v>
      </c>
      <c r="J65" s="5" t="n">
        <v>0</v>
      </c>
      <c r="K65" s="2"/>
    </row>
    <row r="66" customFormat="false" ht="15" hidden="false" customHeight="false" outlineLevel="0" collapsed="false">
      <c r="A66" s="2" t="s">
        <v>124</v>
      </c>
      <c r="B66" s="8" t="s">
        <v>125</v>
      </c>
      <c r="C66" s="8" t="s">
        <v>119</v>
      </c>
      <c r="D66" s="4" t="n">
        <v>0</v>
      </c>
      <c r="E66" s="15" t="n">
        <v>40</v>
      </c>
      <c r="F66" s="4" t="n">
        <v>0.1</v>
      </c>
      <c r="G66" s="9" t="n">
        <v>0.12</v>
      </c>
      <c r="H66" s="15" t="n">
        <v>3</v>
      </c>
      <c r="I66" s="15" t="n">
        <v>0.99</v>
      </c>
      <c r="J66" s="5" t="n">
        <v>0</v>
      </c>
      <c r="K66" s="2" t="s">
        <v>126</v>
      </c>
    </row>
    <row r="67" customFormat="false" ht="15" hidden="false" customHeight="false" outlineLevel="0" collapsed="false">
      <c r="A67" s="2" t="s">
        <v>127</v>
      </c>
      <c r="B67" s="8" t="s">
        <v>125</v>
      </c>
      <c r="C67" s="8" t="s">
        <v>119</v>
      </c>
      <c r="D67" s="4" t="n">
        <v>0</v>
      </c>
      <c r="E67" s="15" t="n">
        <v>20</v>
      </c>
      <c r="F67" s="4" t="n">
        <v>0.1</v>
      </c>
      <c r="G67" s="9" t="n">
        <v>0.12</v>
      </c>
      <c r="H67" s="15" t="n">
        <v>2</v>
      </c>
      <c r="I67" s="15" t="n">
        <v>0.99</v>
      </c>
      <c r="J67" s="5" t="n">
        <v>0</v>
      </c>
      <c r="K67" s="2" t="s">
        <v>49</v>
      </c>
    </row>
    <row r="68" customFormat="false" ht="15" hidden="false" customHeight="false" outlineLevel="0" collapsed="false">
      <c r="A68" s="2" t="s">
        <v>128</v>
      </c>
      <c r="B68" s="8" t="s">
        <v>118</v>
      </c>
      <c r="C68" s="8" t="s">
        <v>129</v>
      </c>
      <c r="D68" s="4" t="n">
        <v>0</v>
      </c>
      <c r="E68" s="15" t="n">
        <v>45</v>
      </c>
      <c r="F68" s="4" t="n">
        <v>0.1</v>
      </c>
      <c r="G68" s="9" t="n">
        <v>0.15</v>
      </c>
      <c r="H68" s="15" t="n">
        <v>2</v>
      </c>
      <c r="I68" s="15" t="n">
        <v>0.99</v>
      </c>
      <c r="J68" s="5" t="n">
        <v>0</v>
      </c>
      <c r="K68" s="2" t="s">
        <v>130</v>
      </c>
    </row>
    <row r="69" customFormat="false" ht="15" hidden="false" customHeight="false" outlineLevel="0" collapsed="false">
      <c r="A69" s="2" t="s">
        <v>131</v>
      </c>
      <c r="B69" s="8" t="s">
        <v>118</v>
      </c>
      <c r="C69" s="8" t="s">
        <v>129</v>
      </c>
      <c r="D69" s="4" t="n">
        <v>0.15</v>
      </c>
      <c r="E69" s="15" t="n">
        <v>12</v>
      </c>
      <c r="F69" s="4" t="n">
        <v>0.1</v>
      </c>
      <c r="G69" s="9" t="n">
        <v>0.15</v>
      </c>
      <c r="H69" s="15" t="n">
        <v>1</v>
      </c>
      <c r="I69" s="15" t="n">
        <v>0.99</v>
      </c>
      <c r="J69" s="5" t="n">
        <v>0</v>
      </c>
      <c r="K69" s="2" t="s">
        <v>132</v>
      </c>
    </row>
    <row r="70" customFormat="false" ht="15" hidden="false" customHeight="false" outlineLevel="0" collapsed="false">
      <c r="A70" s="2" t="s">
        <v>133</v>
      </c>
      <c r="B70" s="8" t="s">
        <v>118</v>
      </c>
      <c r="C70" s="8" t="s">
        <v>119</v>
      </c>
      <c r="D70" s="4" t="n">
        <v>0.15</v>
      </c>
      <c r="E70" s="15" t="n">
        <v>95</v>
      </c>
      <c r="F70" s="4" t="n">
        <v>0.1</v>
      </c>
      <c r="G70" s="9" t="n">
        <v>0.18</v>
      </c>
      <c r="H70" s="15" t="n">
        <v>1.5</v>
      </c>
      <c r="I70" s="15" t="n">
        <v>0.99</v>
      </c>
      <c r="J70" s="5" t="n">
        <v>0</v>
      </c>
      <c r="K70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2" min="21" style="0" width="13"/>
    <col collapsed="false" customWidth="true" hidden="false" outlineLevel="0" max="24" min="23" style="0" width="15"/>
    <col collapsed="false" customWidth="true" hidden="false" outlineLevel="0" max="25" min="25" style="0" width="13"/>
  </cols>
  <sheetData>
    <row r="1" customFormat="false" ht="16.1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60" hidden="false" customHeight="true" outlineLevel="0" collapsed="false">
      <c r="A4" s="3" t="s">
        <v>106</v>
      </c>
      <c r="B4" s="3" t="s">
        <v>107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H4" s="3" t="s">
        <v>142</v>
      </c>
      <c r="I4" s="3" t="s">
        <v>143</v>
      </c>
      <c r="J4" s="3" t="s">
        <v>144</v>
      </c>
      <c r="K4" s="3" t="s">
        <v>145</v>
      </c>
      <c r="L4" s="3" t="s">
        <v>146</v>
      </c>
      <c r="M4" s="3" t="s">
        <v>147</v>
      </c>
      <c r="N4" s="3" t="s">
        <v>148</v>
      </c>
      <c r="O4" s="3" t="s">
        <v>149</v>
      </c>
      <c r="P4" s="3" t="s">
        <v>150</v>
      </c>
      <c r="Q4" s="3" t="s">
        <v>151</v>
      </c>
      <c r="R4" s="3" t="s">
        <v>152</v>
      </c>
      <c r="S4" s="3" t="s">
        <v>153</v>
      </c>
      <c r="T4" s="3" t="s">
        <v>154</v>
      </c>
      <c r="U4" s="3" t="s">
        <v>155</v>
      </c>
      <c r="V4" s="3" t="s">
        <v>156</v>
      </c>
      <c r="W4" s="3" t="s">
        <v>157</v>
      </c>
      <c r="X4" s="3" t="s">
        <v>158</v>
      </c>
      <c r="Y4" s="3" t="s">
        <v>159</v>
      </c>
    </row>
    <row r="5" customFormat="false" ht="15" hidden="false" customHeight="false" outlineLevel="0" collapsed="false">
      <c r="A5" s="19" t="str">
        <f aca="false">Parametros!A62</f>
        <v>Paseo</v>
      </c>
      <c r="B5" s="19" t="str">
        <f aca="false">Parametros!B62</f>
        <v>reventa</v>
      </c>
      <c r="C5" s="19" t="str">
        <f aca="false">Parametros!C62</f>
        <v>S</v>
      </c>
      <c r="D5" s="20" t="n">
        <f aca="false">Parametros!D62</f>
        <v>0.15</v>
      </c>
      <c r="E5" s="21" t="n">
        <f aca="false">Parametros!E62</f>
        <v>10</v>
      </c>
      <c r="F5" s="7" t="n">
        <f aca="false">E5*D5</f>
        <v>1.5</v>
      </c>
      <c r="G5" s="21" t="n">
        <f aca="false">Parametros!J62</f>
        <v>0</v>
      </c>
      <c r="H5" s="7" t="n">
        <f aca="false">G5/(1+Parametros!$B$21)</f>
        <v>0</v>
      </c>
      <c r="I5" s="7" t="n">
        <f aca="false">G5-H5</f>
        <v>0</v>
      </c>
      <c r="J5" s="7" t="n">
        <f aca="false">E5+F5+G5</f>
        <v>11.5</v>
      </c>
      <c r="K5" s="20" t="n">
        <f aca="false">Parametros!F62</f>
        <v>0.1</v>
      </c>
      <c r="L5" s="7" t="n">
        <f aca="false">E5*K5</f>
        <v>1</v>
      </c>
      <c r="M5" s="7" t="n">
        <f aca="false">L5+H5</f>
        <v>1</v>
      </c>
      <c r="N5" s="7" t="n">
        <f aca="false">J5*Parametros!$B$15+Parametros!$B$16</f>
        <v>0.5113475</v>
      </c>
      <c r="O5" s="7" t="n">
        <f aca="false">IF(D5&gt;0,J5*Parametros!$B$17+Parametros!$B$18,0)</f>
        <v>0.0666975</v>
      </c>
      <c r="P5" s="7" t="n">
        <f aca="false">N5-O5</f>
        <v>0.44465</v>
      </c>
      <c r="Q5" s="7" t="n">
        <f aca="false">Parametros!$B$38+J5*Parametros!$B$37</f>
        <v>0.1775</v>
      </c>
      <c r="R5" s="22" t="n">
        <f aca="false">M5-P5-Q5</f>
        <v>0.37785</v>
      </c>
      <c r="S5" s="23" t="n">
        <f aca="false">IF(E5=0,0,R5/E5)</f>
        <v>0.037785</v>
      </c>
      <c r="T5" s="7" t="n">
        <f aca="false">IF(B5="agencia",E5-L5*(1+Parametros!$B$21),E5-L5)</f>
        <v>9</v>
      </c>
      <c r="U5" s="7" t="n">
        <f aca="false">Parametros!$B$27*Parametros!$B$22*IF(B5="agencia",M5,E5+H5)</f>
        <v>0.12</v>
      </c>
      <c r="V5" s="7" t="n">
        <f aca="false">Parametros!$B$28*(IF(B5="agencia",0,F5*IF(C5="S",Parametros!$B$24,Parametros!$B$23))+I5*Parametros!$B$24)</f>
        <v>0.63</v>
      </c>
      <c r="W5" s="7" t="n">
        <f aca="false">IF(B5="agencia",L5*Parametros!$B$21+I5,F5+I5-(E5-L5)*D5*IF(C5="S",Parametros!$B$29,Parametros!$B$30))-O5</f>
        <v>0.7583025</v>
      </c>
      <c r="X5" s="7" t="n">
        <f aca="false">MAX(V5-MAX(W5,0),0)</f>
        <v>0</v>
      </c>
      <c r="Y5" s="7" t="n">
        <f aca="false">MAX(W5-V5,0)</f>
        <v>0.1283025</v>
      </c>
    </row>
    <row r="6" customFormat="false" ht="15" hidden="false" customHeight="false" outlineLevel="0" collapsed="false">
      <c r="A6" s="19" t="str">
        <f aca="false">Parametros!A63</f>
        <v>Grooming</v>
      </c>
      <c r="B6" s="19" t="str">
        <f aca="false">Parametros!B63</f>
        <v>reventa</v>
      </c>
      <c r="C6" s="19" t="str">
        <f aca="false">Parametros!C63</f>
        <v>S</v>
      </c>
      <c r="D6" s="20" t="n">
        <f aca="false">Parametros!D63</f>
        <v>0.15</v>
      </c>
      <c r="E6" s="21" t="n">
        <f aca="false">Parametros!E63</f>
        <v>25</v>
      </c>
      <c r="F6" s="7" t="n">
        <f aca="false">E6*D6</f>
        <v>3.75</v>
      </c>
      <c r="G6" s="21" t="n">
        <f aca="false">Parametros!J63</f>
        <v>0</v>
      </c>
      <c r="H6" s="7" t="n">
        <f aca="false">G6/(1+Parametros!$B$21)</f>
        <v>0</v>
      </c>
      <c r="I6" s="7" t="n">
        <f aca="false">G6-H6</f>
        <v>0</v>
      </c>
      <c r="J6" s="7" t="n">
        <f aca="false">E6+F6+G6</f>
        <v>28.75</v>
      </c>
      <c r="K6" s="20" t="n">
        <f aca="false">Parametros!F63</f>
        <v>0.1</v>
      </c>
      <c r="L6" s="7" t="n">
        <f aca="false">E6*K6</f>
        <v>2.5</v>
      </c>
      <c r="M6" s="7" t="n">
        <f aca="false">L6+H6</f>
        <v>2.5</v>
      </c>
      <c r="N6" s="7" t="n">
        <f aca="false">J6*Parametros!$B$15+Parametros!$B$16</f>
        <v>1.23696875</v>
      </c>
      <c r="O6" s="7" t="n">
        <f aca="false">IF(D6&gt;0,J6*Parametros!$B$17+Parametros!$B$18,0)</f>
        <v>0.16134375</v>
      </c>
      <c r="P6" s="7" t="n">
        <f aca="false">N6-O6</f>
        <v>1.075625</v>
      </c>
      <c r="Q6" s="7" t="n">
        <f aca="false">Parametros!$B$38+J6*Parametros!$B$37</f>
        <v>0.26375</v>
      </c>
      <c r="R6" s="22" t="n">
        <f aca="false">M6-P6-Q6</f>
        <v>1.160625</v>
      </c>
      <c r="S6" s="23" t="n">
        <f aca="false">IF(E6=0,0,R6/E6)</f>
        <v>0.046425</v>
      </c>
      <c r="T6" s="7" t="n">
        <f aca="false">IF(B6="agencia",E6-L6*(1+Parametros!$B$21),E6-L6)</f>
        <v>22.5</v>
      </c>
      <c r="U6" s="7" t="n">
        <f aca="false">Parametros!$B$27*Parametros!$B$22*IF(B6="agencia",M6,E6+H6)</f>
        <v>0.3</v>
      </c>
      <c r="V6" s="7" t="n">
        <f aca="false">Parametros!$B$28*(IF(B6="agencia",0,F6*IF(C6="S",Parametros!$B$24,Parametros!$B$23))+I6*Parametros!$B$24)</f>
        <v>1.575</v>
      </c>
      <c r="W6" s="7" t="n">
        <f aca="false">IF(B6="agencia",L6*Parametros!$B$21+I6,F6+I6-(E6-L6)*D6*IF(C6="S",Parametros!$B$29,Parametros!$B$30))-O6</f>
        <v>1.90115625</v>
      </c>
      <c r="X6" s="7" t="n">
        <f aca="false">MAX(V6-MAX(W6,0),0)</f>
        <v>0</v>
      </c>
      <c r="Y6" s="7" t="n">
        <f aca="false">MAX(W6-V6,0)</f>
        <v>0.32615625</v>
      </c>
    </row>
    <row r="7" customFormat="false" ht="15" hidden="false" customHeight="false" outlineLevel="0" collapsed="false">
      <c r="A7" s="19" t="str">
        <f aca="false">Parametros!A64</f>
        <v>Guardería (día)</v>
      </c>
      <c r="B7" s="19" t="str">
        <f aca="false">Parametros!B64</f>
        <v>reventa</v>
      </c>
      <c r="C7" s="19" t="str">
        <f aca="false">Parametros!C64</f>
        <v>S</v>
      </c>
      <c r="D7" s="20" t="n">
        <f aca="false">Parametros!D64</f>
        <v>0.15</v>
      </c>
      <c r="E7" s="21" t="n">
        <f aca="false">Parametros!E64</f>
        <v>18</v>
      </c>
      <c r="F7" s="7" t="n">
        <f aca="false">E7*D7</f>
        <v>2.7</v>
      </c>
      <c r="G7" s="21" t="n">
        <f aca="false">Parametros!J64</f>
        <v>0</v>
      </c>
      <c r="H7" s="7" t="n">
        <f aca="false">G7/(1+Parametros!$B$21)</f>
        <v>0</v>
      </c>
      <c r="I7" s="7" t="n">
        <f aca="false">G7-H7</f>
        <v>0</v>
      </c>
      <c r="J7" s="7" t="n">
        <f aca="false">E7+F7+G7</f>
        <v>20.7</v>
      </c>
      <c r="K7" s="20" t="n">
        <f aca="false">Parametros!F64</f>
        <v>0.1</v>
      </c>
      <c r="L7" s="7" t="n">
        <f aca="false">E7*K7</f>
        <v>1.8</v>
      </c>
      <c r="M7" s="7" t="n">
        <f aca="false">L7+H7</f>
        <v>1.8</v>
      </c>
      <c r="N7" s="7" t="n">
        <f aca="false">J7*Parametros!$B$15+Parametros!$B$16</f>
        <v>0.8983455</v>
      </c>
      <c r="O7" s="7" t="n">
        <f aca="false">IF(D7&gt;0,J7*Parametros!$B$17+Parametros!$B$18,0)</f>
        <v>0.1171755</v>
      </c>
      <c r="P7" s="7" t="n">
        <f aca="false">N7-O7</f>
        <v>0.78117</v>
      </c>
      <c r="Q7" s="7" t="n">
        <f aca="false">Parametros!$B$38+J7*Parametros!$B$37</f>
        <v>0.2235</v>
      </c>
      <c r="R7" s="22" t="n">
        <f aca="false">M7-P7-Q7</f>
        <v>0.79533</v>
      </c>
      <c r="S7" s="23" t="n">
        <f aca="false">IF(E7=0,0,R7/E7)</f>
        <v>0.044185</v>
      </c>
      <c r="T7" s="7" t="n">
        <f aca="false">IF(B7="agencia",E7-L7*(1+Parametros!$B$21),E7-L7)</f>
        <v>16.2</v>
      </c>
      <c r="U7" s="7" t="n">
        <f aca="false">Parametros!$B$27*Parametros!$B$22*IF(B7="agencia",M7,E7+H7)</f>
        <v>0.216</v>
      </c>
      <c r="V7" s="7" t="n">
        <f aca="false">Parametros!$B$28*(IF(B7="agencia",0,F7*IF(C7="S",Parametros!$B$24,Parametros!$B$23))+I7*Parametros!$B$24)</f>
        <v>1.134</v>
      </c>
      <c r="W7" s="7" t="n">
        <f aca="false">IF(B7="agencia",L7*Parametros!$B$21+I7,F7+I7-(E7-L7)*D7*IF(C7="S",Parametros!$B$29,Parametros!$B$30))-O7</f>
        <v>1.3678245</v>
      </c>
      <c r="X7" s="7" t="n">
        <f aca="false">MAX(V7-MAX(W7,0),0)</f>
        <v>0</v>
      </c>
      <c r="Y7" s="7" t="n">
        <f aca="false">MAX(W7-V7,0)</f>
        <v>0.2338245</v>
      </c>
    </row>
    <row r="8" customFormat="false" ht="15" hidden="false" customHeight="false" outlineLevel="0" collapsed="false">
      <c r="A8" s="19" t="str">
        <f aca="false">Parametros!A65</f>
        <v>Adiestramiento (sesión)</v>
      </c>
      <c r="B8" s="19" t="str">
        <f aca="false">Parametros!B65</f>
        <v>reventa</v>
      </c>
      <c r="C8" s="19" t="str">
        <f aca="false">Parametros!C65</f>
        <v>S</v>
      </c>
      <c r="D8" s="20" t="n">
        <f aca="false">Parametros!D65</f>
        <v>0.15</v>
      </c>
      <c r="E8" s="21" t="n">
        <f aca="false">Parametros!E65</f>
        <v>20</v>
      </c>
      <c r="F8" s="7" t="n">
        <f aca="false">E8*D8</f>
        <v>3</v>
      </c>
      <c r="G8" s="21" t="n">
        <f aca="false">Parametros!J65</f>
        <v>0</v>
      </c>
      <c r="H8" s="7" t="n">
        <f aca="false">G8/(1+Parametros!$B$21)</f>
        <v>0</v>
      </c>
      <c r="I8" s="7" t="n">
        <f aca="false">G8-H8</f>
        <v>0</v>
      </c>
      <c r="J8" s="7" t="n">
        <f aca="false">E8+F8+G8</f>
        <v>23</v>
      </c>
      <c r="K8" s="20" t="n">
        <f aca="false">Parametros!F65</f>
        <v>0.1</v>
      </c>
      <c r="L8" s="7" t="n">
        <f aca="false">E8*K8</f>
        <v>2</v>
      </c>
      <c r="M8" s="7" t="n">
        <f aca="false">L8+H8</f>
        <v>2</v>
      </c>
      <c r="N8" s="7" t="n">
        <f aca="false">J8*Parametros!$B$15+Parametros!$B$16</f>
        <v>0.995095</v>
      </c>
      <c r="O8" s="7" t="n">
        <f aca="false">IF(D8&gt;0,J8*Parametros!$B$17+Parametros!$B$18,0)</f>
        <v>0.129795</v>
      </c>
      <c r="P8" s="7" t="n">
        <f aca="false">N8-O8</f>
        <v>0.8653</v>
      </c>
      <c r="Q8" s="7" t="n">
        <f aca="false">Parametros!$B$38+J8*Parametros!$B$37</f>
        <v>0.235</v>
      </c>
      <c r="R8" s="22" t="n">
        <f aca="false">M8-P8-Q8</f>
        <v>0.8997</v>
      </c>
      <c r="S8" s="23" t="n">
        <f aca="false">IF(E8=0,0,R8/E8)</f>
        <v>0.044985</v>
      </c>
      <c r="T8" s="7" t="n">
        <f aca="false">IF(B8="agencia",E8-L8*(1+Parametros!$B$21),E8-L8)</f>
        <v>18</v>
      </c>
      <c r="U8" s="7" t="n">
        <f aca="false">Parametros!$B$27*Parametros!$B$22*IF(B8="agencia",M8,E8+H8)</f>
        <v>0.24</v>
      </c>
      <c r="V8" s="7" t="n">
        <f aca="false">Parametros!$B$28*(IF(B8="agencia",0,F8*IF(C8="S",Parametros!$B$24,Parametros!$B$23))+I8*Parametros!$B$24)</f>
        <v>1.26</v>
      </c>
      <c r="W8" s="7" t="n">
        <f aca="false">IF(B8="agencia",L8*Parametros!$B$21+I8,F8+I8-(E8-L8)*D8*IF(C8="S",Parametros!$B$29,Parametros!$B$30))-O8</f>
        <v>1.520205</v>
      </c>
      <c r="X8" s="7" t="n">
        <f aca="false">MAX(V8-MAX(W8,0),0)</f>
        <v>0</v>
      </c>
      <c r="Y8" s="7" t="n">
        <f aca="false">MAX(W8-V8,0)</f>
        <v>0.260205</v>
      </c>
    </row>
    <row r="9" customFormat="false" ht="15" hidden="false" customHeight="false" outlineLevel="0" collapsed="false">
      <c r="A9" s="19" t="str">
        <f aca="false">Parametros!A66</f>
        <v>Veterinaria consulta</v>
      </c>
      <c r="B9" s="19" t="str">
        <f aca="false">Parametros!B66</f>
        <v>agencia</v>
      </c>
      <c r="C9" s="19" t="str">
        <f aca="false">Parametros!C66</f>
        <v>S</v>
      </c>
      <c r="D9" s="20" t="n">
        <f aca="false">Parametros!D66</f>
        <v>0</v>
      </c>
      <c r="E9" s="21" t="n">
        <f aca="false">Parametros!E66</f>
        <v>40</v>
      </c>
      <c r="F9" s="7" t="n">
        <f aca="false">E9*D9</f>
        <v>0</v>
      </c>
      <c r="G9" s="21" t="n">
        <f aca="false">Parametros!J66</f>
        <v>0</v>
      </c>
      <c r="H9" s="7" t="n">
        <f aca="false">G9/(1+Parametros!$B$21)</f>
        <v>0</v>
      </c>
      <c r="I9" s="7" t="n">
        <f aca="false">G9-H9</f>
        <v>0</v>
      </c>
      <c r="J9" s="7" t="n">
        <f aca="false">E9+F9+G9</f>
        <v>40</v>
      </c>
      <c r="K9" s="20" t="n">
        <f aca="false">Parametros!F66</f>
        <v>0.1</v>
      </c>
      <c r="L9" s="7" t="n">
        <f aca="false">E9*K9</f>
        <v>4</v>
      </c>
      <c r="M9" s="7" t="n">
        <f aca="false">L9+H9</f>
        <v>4</v>
      </c>
      <c r="N9" s="7" t="n">
        <f aca="false">J9*Parametros!$B$15+Parametros!$B$16</f>
        <v>1.7102</v>
      </c>
      <c r="O9" s="7" t="n">
        <f aca="false">IF(D9&gt;0,J9*Parametros!$B$17+Parametros!$B$18,0)</f>
        <v>0</v>
      </c>
      <c r="P9" s="7" t="n">
        <f aca="false">N9-O9</f>
        <v>1.7102</v>
      </c>
      <c r="Q9" s="7" t="n">
        <f aca="false">Parametros!$B$38+J9*Parametros!$B$37</f>
        <v>0.32</v>
      </c>
      <c r="R9" s="22" t="n">
        <f aca="false">M9-P9-Q9</f>
        <v>1.9698</v>
      </c>
      <c r="S9" s="23" t="n">
        <f aca="false">IF(E9=0,0,R9/E9)</f>
        <v>0.049245</v>
      </c>
      <c r="T9" s="7" t="n">
        <f aca="false">IF(B9="agencia",E9-L9*(1+Parametros!$B$21),E9-L9)</f>
        <v>35.4</v>
      </c>
      <c r="U9" s="7" t="n">
        <f aca="false">Parametros!$B$27*Parametros!$B$22*IF(B9="agencia",M9,E9+H9)</f>
        <v>0.048</v>
      </c>
      <c r="V9" s="7" t="n">
        <f aca="false">Parametros!$B$28*(IF(B9="agencia",0,F9*IF(C9="S",Parametros!$B$24,Parametros!$B$23))+I9*Parametros!$B$24)</f>
        <v>0</v>
      </c>
      <c r="W9" s="7" t="n">
        <f aca="false">IF(B9="agencia",L9*Parametros!$B$21+I9,F9+I9-(E9-L9)*D9*IF(C9="S",Parametros!$B$29,Parametros!$B$30))-O9</f>
        <v>0.6</v>
      </c>
      <c r="X9" s="7" t="n">
        <f aca="false">MAX(V9-MAX(W9,0),0)</f>
        <v>0</v>
      </c>
      <c r="Y9" s="7" t="n">
        <f aca="false">MAX(W9-V9,0)</f>
        <v>0.6</v>
      </c>
    </row>
    <row r="10" customFormat="false" ht="15" hidden="false" customHeight="false" outlineLevel="0" collapsed="false">
      <c r="A10" s="19" t="str">
        <f aca="false">Parametros!A67</f>
        <v>Telemedicina</v>
      </c>
      <c r="B10" s="19" t="str">
        <f aca="false">Parametros!B67</f>
        <v>agencia</v>
      </c>
      <c r="C10" s="19" t="str">
        <f aca="false">Parametros!C67</f>
        <v>S</v>
      </c>
      <c r="D10" s="20" t="n">
        <f aca="false">Parametros!D67</f>
        <v>0</v>
      </c>
      <c r="E10" s="21" t="n">
        <f aca="false">Parametros!E67</f>
        <v>20</v>
      </c>
      <c r="F10" s="7" t="n">
        <f aca="false">E10*D10</f>
        <v>0</v>
      </c>
      <c r="G10" s="21" t="n">
        <f aca="false">Parametros!J67</f>
        <v>0</v>
      </c>
      <c r="H10" s="7" t="n">
        <f aca="false">G10/(1+Parametros!$B$21)</f>
        <v>0</v>
      </c>
      <c r="I10" s="7" t="n">
        <f aca="false">G10-H10</f>
        <v>0</v>
      </c>
      <c r="J10" s="7" t="n">
        <f aca="false">E10+F10+G10</f>
        <v>20</v>
      </c>
      <c r="K10" s="20" t="n">
        <f aca="false">Parametros!F67</f>
        <v>0.1</v>
      </c>
      <c r="L10" s="7" t="n">
        <f aca="false">E10*K10</f>
        <v>2</v>
      </c>
      <c r="M10" s="7" t="n">
        <f aca="false">L10+H10</f>
        <v>2</v>
      </c>
      <c r="N10" s="7" t="n">
        <f aca="false">J10*Parametros!$B$15+Parametros!$B$16</f>
        <v>0.8689</v>
      </c>
      <c r="O10" s="7" t="n">
        <f aca="false">IF(D10&gt;0,J10*Parametros!$B$17+Parametros!$B$18,0)</f>
        <v>0</v>
      </c>
      <c r="P10" s="7" t="n">
        <f aca="false">N10-O10</f>
        <v>0.8689</v>
      </c>
      <c r="Q10" s="7" t="n">
        <f aca="false">Parametros!$B$38+J10*Parametros!$B$37</f>
        <v>0.22</v>
      </c>
      <c r="R10" s="22" t="n">
        <f aca="false">M10-P10-Q10</f>
        <v>0.9111</v>
      </c>
      <c r="S10" s="23" t="n">
        <f aca="false">IF(E10=0,0,R10/E10)</f>
        <v>0.045555</v>
      </c>
      <c r="T10" s="7" t="n">
        <f aca="false">IF(B10="agencia",E10-L10*(1+Parametros!$B$21),E10-L10)</f>
        <v>17.7</v>
      </c>
      <c r="U10" s="7" t="n">
        <f aca="false">Parametros!$B$27*Parametros!$B$22*IF(B10="agencia",M10,E10+H10)</f>
        <v>0.024</v>
      </c>
      <c r="V10" s="7" t="n">
        <f aca="false">Parametros!$B$28*(IF(B10="agencia",0,F10*IF(C10="S",Parametros!$B$24,Parametros!$B$23))+I10*Parametros!$B$24)</f>
        <v>0</v>
      </c>
      <c r="W10" s="7" t="n">
        <f aca="false">IF(B10="agencia",L10*Parametros!$B$21+I10,F10+I10-(E10-L10)*D10*IF(C10="S",Parametros!$B$29,Parametros!$B$30))-O10</f>
        <v>0.3</v>
      </c>
      <c r="X10" s="7" t="n">
        <f aca="false">MAX(V10-MAX(W10,0),0)</f>
        <v>0</v>
      </c>
      <c r="Y10" s="7" t="n">
        <f aca="false">MAX(W10-V10,0)</f>
        <v>0.3</v>
      </c>
    </row>
    <row r="11" customFormat="false" ht="15" hidden="false" customHeight="false" outlineLevel="0" collapsed="false">
      <c r="A11" s="19" t="str">
        <f aca="false">Parametros!A68</f>
        <v>Despensa — alimento balanceado</v>
      </c>
      <c r="B11" s="19" t="str">
        <f aca="false">Parametros!B68</f>
        <v>reventa</v>
      </c>
      <c r="C11" s="19" t="str">
        <f aca="false">Parametros!C68</f>
        <v>B</v>
      </c>
      <c r="D11" s="20" t="n">
        <f aca="false">Parametros!D68</f>
        <v>0</v>
      </c>
      <c r="E11" s="21" t="n">
        <f aca="false">Parametros!E68</f>
        <v>45</v>
      </c>
      <c r="F11" s="7" t="n">
        <f aca="false">E11*D11</f>
        <v>0</v>
      </c>
      <c r="G11" s="21" t="n">
        <f aca="false">Parametros!J68</f>
        <v>0</v>
      </c>
      <c r="H11" s="7" t="n">
        <f aca="false">G11/(1+Parametros!$B$21)</f>
        <v>0</v>
      </c>
      <c r="I11" s="7" t="n">
        <f aca="false">G11-H11</f>
        <v>0</v>
      </c>
      <c r="J11" s="7" t="n">
        <f aca="false">E11+F11+G11</f>
        <v>45</v>
      </c>
      <c r="K11" s="20" t="n">
        <f aca="false">Parametros!F68</f>
        <v>0.1</v>
      </c>
      <c r="L11" s="7" t="n">
        <f aca="false">E11*K11</f>
        <v>4.5</v>
      </c>
      <c r="M11" s="7" t="n">
        <f aca="false">L11+H11</f>
        <v>4.5</v>
      </c>
      <c r="N11" s="7" t="n">
        <f aca="false">J11*Parametros!$B$15+Parametros!$B$16</f>
        <v>1.920525</v>
      </c>
      <c r="O11" s="7" t="n">
        <f aca="false">IF(D11&gt;0,J11*Parametros!$B$17+Parametros!$B$18,0)</f>
        <v>0</v>
      </c>
      <c r="P11" s="7" t="n">
        <f aca="false">N11-O11</f>
        <v>1.920525</v>
      </c>
      <c r="Q11" s="7" t="n">
        <f aca="false">Parametros!$B$38+J11*Parametros!$B$37</f>
        <v>0.345</v>
      </c>
      <c r="R11" s="22" t="n">
        <f aca="false">M11-P11-Q11</f>
        <v>2.234475</v>
      </c>
      <c r="S11" s="23" t="n">
        <f aca="false">IF(E11=0,0,R11/E11)</f>
        <v>0.049655</v>
      </c>
      <c r="T11" s="7" t="n">
        <f aca="false">IF(B11="agencia",E11-L11*(1+Parametros!$B$21),E11-L11)</f>
        <v>40.5</v>
      </c>
      <c r="U11" s="7" t="n">
        <f aca="false">Parametros!$B$27*Parametros!$B$22*IF(B11="agencia",M11,E11+H11)</f>
        <v>0.54</v>
      </c>
      <c r="V11" s="7" t="n">
        <f aca="false">Parametros!$B$28*(IF(B11="agencia",0,F11*IF(C11="S",Parametros!$B$24,Parametros!$B$23))+I11*Parametros!$B$24)</f>
        <v>0</v>
      </c>
      <c r="W11" s="7" t="n">
        <f aca="false">IF(B11="agencia",L11*Parametros!$B$21+I11,F11+I11-(E11-L11)*D11*IF(C11="S",Parametros!$B$29,Parametros!$B$30))-O11</f>
        <v>0</v>
      </c>
      <c r="X11" s="7" t="n">
        <f aca="false">MAX(V11-MAX(W11,0),0)</f>
        <v>0</v>
      </c>
      <c r="Y11" s="7" t="n">
        <f aca="false">MAX(W11-V11,0)</f>
        <v>0</v>
      </c>
    </row>
    <row r="12" customFormat="false" ht="15" hidden="false" customHeight="false" outlineLevel="0" collapsed="false">
      <c r="A12" s="19" t="str">
        <f aca="false">Parametros!A69</f>
        <v>Despensa — snack / accesorio</v>
      </c>
      <c r="B12" s="19" t="str">
        <f aca="false">Parametros!B69</f>
        <v>reventa</v>
      </c>
      <c r="C12" s="19" t="str">
        <f aca="false">Parametros!C69</f>
        <v>B</v>
      </c>
      <c r="D12" s="20" t="n">
        <f aca="false">Parametros!D69</f>
        <v>0.15</v>
      </c>
      <c r="E12" s="21" t="n">
        <f aca="false">Parametros!E69</f>
        <v>12</v>
      </c>
      <c r="F12" s="7" t="n">
        <f aca="false">E12*D12</f>
        <v>1.8</v>
      </c>
      <c r="G12" s="21" t="n">
        <f aca="false">Parametros!J69</f>
        <v>0</v>
      </c>
      <c r="H12" s="7" t="n">
        <f aca="false">G12/(1+Parametros!$B$21)</f>
        <v>0</v>
      </c>
      <c r="I12" s="7" t="n">
        <f aca="false">G12-H12</f>
        <v>0</v>
      </c>
      <c r="J12" s="7" t="n">
        <f aca="false">E12+F12+G12</f>
        <v>13.8</v>
      </c>
      <c r="K12" s="20" t="n">
        <f aca="false">Parametros!F69</f>
        <v>0.1</v>
      </c>
      <c r="L12" s="7" t="n">
        <f aca="false">E12*K12</f>
        <v>1.2</v>
      </c>
      <c r="M12" s="7" t="n">
        <f aca="false">L12+H12</f>
        <v>1.2</v>
      </c>
      <c r="N12" s="7" t="n">
        <f aca="false">J12*Parametros!$B$15+Parametros!$B$16</f>
        <v>0.608097</v>
      </c>
      <c r="O12" s="7" t="n">
        <f aca="false">IF(D12&gt;0,J12*Parametros!$B$17+Parametros!$B$18,0)</f>
        <v>0.079317</v>
      </c>
      <c r="P12" s="7" t="n">
        <f aca="false">N12-O12</f>
        <v>0.52878</v>
      </c>
      <c r="Q12" s="7" t="n">
        <f aca="false">Parametros!$B$38+J12*Parametros!$B$37</f>
        <v>0.189</v>
      </c>
      <c r="R12" s="22" t="n">
        <f aca="false">M12-P12-Q12</f>
        <v>0.48222</v>
      </c>
      <c r="S12" s="23" t="n">
        <f aca="false">IF(E12=0,0,R12/E12)</f>
        <v>0.040185</v>
      </c>
      <c r="T12" s="7" t="n">
        <f aca="false">IF(B12="agencia",E12-L12*(1+Parametros!$B$21),E12-L12)</f>
        <v>10.8</v>
      </c>
      <c r="U12" s="7" t="n">
        <f aca="false">Parametros!$B$27*Parametros!$B$22*IF(B12="agencia",M12,E12+H12)</f>
        <v>0.144</v>
      </c>
      <c r="V12" s="7" t="n">
        <f aca="false">Parametros!$B$28*(IF(B12="agencia",0,F12*IF(C12="S",Parametros!$B$24,Parametros!$B$23))+I12*Parametros!$B$24)</f>
        <v>0.324</v>
      </c>
      <c r="W12" s="7" t="n">
        <f aca="false">IF(B12="agencia",L12*Parametros!$B$21+I12,F12+I12-(E12-L12)*D12*IF(C12="S",Parametros!$B$29,Parametros!$B$30))-O12</f>
        <v>0.100683</v>
      </c>
      <c r="X12" s="7" t="n">
        <f aca="false">MAX(V12-MAX(W12,0),0)</f>
        <v>0.223317</v>
      </c>
      <c r="Y12" s="7" t="n">
        <f aca="false">MAX(W12-V12,0)</f>
        <v>0</v>
      </c>
    </row>
    <row r="13" customFormat="false" ht="15" hidden="false" customHeight="false" outlineLevel="0" collapsed="false">
      <c r="A13" s="19" t="str">
        <f aca="false">Parametros!A70</f>
        <v>Paquete 10 paseos (prepago)</v>
      </c>
      <c r="B13" s="19" t="str">
        <f aca="false">Parametros!B70</f>
        <v>reventa</v>
      </c>
      <c r="C13" s="19" t="str">
        <f aca="false">Parametros!C70</f>
        <v>S</v>
      </c>
      <c r="D13" s="20" t="n">
        <f aca="false">Parametros!D70</f>
        <v>0.15</v>
      </c>
      <c r="E13" s="21" t="n">
        <f aca="false">Parametros!E70</f>
        <v>95</v>
      </c>
      <c r="F13" s="7" t="n">
        <f aca="false">E13*D13</f>
        <v>14.25</v>
      </c>
      <c r="G13" s="21" t="n">
        <f aca="false">Parametros!J70</f>
        <v>0</v>
      </c>
      <c r="H13" s="7" t="n">
        <f aca="false">G13/(1+Parametros!$B$21)</f>
        <v>0</v>
      </c>
      <c r="I13" s="7" t="n">
        <f aca="false">G13-H13</f>
        <v>0</v>
      </c>
      <c r="J13" s="7" t="n">
        <f aca="false">E13+F13+G13</f>
        <v>109.25</v>
      </c>
      <c r="K13" s="20" t="n">
        <f aca="false">Parametros!F70</f>
        <v>0.1</v>
      </c>
      <c r="L13" s="7" t="n">
        <f aca="false">E13*K13</f>
        <v>9.5</v>
      </c>
      <c r="M13" s="7" t="n">
        <f aca="false">L13+H13</f>
        <v>9.5</v>
      </c>
      <c r="N13" s="7" t="n">
        <f aca="false">J13*Parametros!$B$15+Parametros!$B$16</f>
        <v>4.62320125</v>
      </c>
      <c r="O13" s="7" t="n">
        <f aca="false">IF(D13&gt;0,J13*Parametros!$B$17+Parametros!$B$18,0)</f>
        <v>0.60302625</v>
      </c>
      <c r="P13" s="7" t="n">
        <f aca="false">N13-O13</f>
        <v>4.020175</v>
      </c>
      <c r="Q13" s="7" t="n">
        <f aca="false">Parametros!$B$38+J13*Parametros!$B$37</f>
        <v>0.66625</v>
      </c>
      <c r="R13" s="22" t="n">
        <f aca="false">M13-P13-Q13</f>
        <v>4.813575</v>
      </c>
      <c r="S13" s="23" t="n">
        <f aca="false">IF(E13=0,0,R13/E13)</f>
        <v>0.0506692105263158</v>
      </c>
      <c r="T13" s="7" t="n">
        <f aca="false">IF(B13="agencia",E13-L13*(1+Parametros!$B$21),E13-L13)</f>
        <v>85.5</v>
      </c>
      <c r="U13" s="7" t="n">
        <f aca="false">Parametros!$B$27*Parametros!$B$22*IF(B13="agencia",M13,E13+H13)</f>
        <v>1.14</v>
      </c>
      <c r="V13" s="7" t="n">
        <f aca="false">Parametros!$B$28*(IF(B13="agencia",0,F13*IF(C13="S",Parametros!$B$24,Parametros!$B$23))+I13*Parametros!$B$24)</f>
        <v>5.985</v>
      </c>
      <c r="W13" s="7" t="n">
        <f aca="false">IF(B13="agencia",L13*Parametros!$B$21+I13,F13+I13-(E13-L13)*D13*IF(C13="S",Parametros!$B$29,Parametros!$B$30))-O13</f>
        <v>7.23447375</v>
      </c>
      <c r="X13" s="7" t="n">
        <f aca="false">MAX(V13-MAX(W13,0),0)</f>
        <v>0</v>
      </c>
      <c r="Y13" s="7" t="n">
        <f aca="false">MAX(W13-V13,0)</f>
        <v>1.24947375</v>
      </c>
    </row>
    <row r="15" customFormat="false" ht="15" hidden="false" customHeight="false" outlineLevel="0" collapsed="false">
      <c r="A15" s="2" t="s">
        <v>160</v>
      </c>
    </row>
    <row r="16" customFormat="false" ht="15" hidden="false" customHeight="false" outlineLevel="0" collapsed="false">
      <c r="A16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2" min="21" style="0" width="13"/>
    <col collapsed="false" customWidth="true" hidden="false" outlineLevel="0" max="24" min="23" style="0" width="15"/>
    <col collapsed="false" customWidth="true" hidden="false" outlineLevel="0" max="25" min="25" style="0" width="13"/>
  </cols>
  <sheetData>
    <row r="1" customFormat="false" ht="16.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136</v>
      </c>
    </row>
    <row r="4" customFormat="false" ht="60" hidden="false" customHeight="true" outlineLevel="0" collapsed="false">
      <c r="A4" s="3" t="s">
        <v>106</v>
      </c>
      <c r="B4" s="3" t="s">
        <v>107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H4" s="3" t="s">
        <v>142</v>
      </c>
      <c r="I4" s="3" t="s">
        <v>143</v>
      </c>
      <c r="J4" s="3" t="s">
        <v>144</v>
      </c>
      <c r="K4" s="3" t="s">
        <v>145</v>
      </c>
      <c r="L4" s="3" t="s">
        <v>146</v>
      </c>
      <c r="M4" s="3" t="s">
        <v>147</v>
      </c>
      <c r="N4" s="3" t="s">
        <v>148</v>
      </c>
      <c r="O4" s="3" t="s">
        <v>149</v>
      </c>
      <c r="P4" s="3" t="s">
        <v>150</v>
      </c>
      <c r="Q4" s="3" t="s">
        <v>151</v>
      </c>
      <c r="R4" s="3" t="s">
        <v>152</v>
      </c>
      <c r="S4" s="3" t="s">
        <v>153</v>
      </c>
      <c r="T4" s="3" t="s">
        <v>154</v>
      </c>
      <c r="U4" s="3" t="s">
        <v>155</v>
      </c>
      <c r="V4" s="3" t="s">
        <v>156</v>
      </c>
      <c r="W4" s="3" t="s">
        <v>157</v>
      </c>
      <c r="X4" s="3" t="s">
        <v>158</v>
      </c>
      <c r="Y4" s="3" t="s">
        <v>159</v>
      </c>
    </row>
    <row r="5" customFormat="false" ht="15" hidden="false" customHeight="false" outlineLevel="0" collapsed="false">
      <c r="A5" s="19" t="str">
        <f aca="false">Parametros!A62</f>
        <v>Paseo</v>
      </c>
      <c r="B5" s="19" t="str">
        <f aca="false">Parametros!B62</f>
        <v>reventa</v>
      </c>
      <c r="C5" s="19" t="str">
        <f aca="false">Parametros!C62</f>
        <v>S</v>
      </c>
      <c r="D5" s="20" t="n">
        <f aca="false">Parametros!D62</f>
        <v>0.15</v>
      </c>
      <c r="E5" s="21" t="n">
        <f aca="false">Parametros!E62</f>
        <v>10</v>
      </c>
      <c r="F5" s="7" t="n">
        <f aca="false">E5*D5</f>
        <v>1.5</v>
      </c>
      <c r="G5" s="21" t="n">
        <f aca="false">Parametros!I62</f>
        <v>0.99</v>
      </c>
      <c r="H5" s="7" t="n">
        <f aca="false">G5/(1+Parametros!$B$21)</f>
        <v>0.860869565217391</v>
      </c>
      <c r="I5" s="7" t="n">
        <f aca="false">G5-H5</f>
        <v>0.129130434782609</v>
      </c>
      <c r="J5" s="7" t="n">
        <f aca="false">E5+F5+G5</f>
        <v>12.49</v>
      </c>
      <c r="K5" s="20" t="n">
        <f aca="false">Parametros!G62</f>
        <v>0.18</v>
      </c>
      <c r="L5" s="7" t="n">
        <f aca="false">MAX(E5*K5,Parametros!H62)</f>
        <v>1.8</v>
      </c>
      <c r="M5" s="7" t="n">
        <f aca="false">L5+H5</f>
        <v>2.66086956521739</v>
      </c>
      <c r="N5" s="7" t="n">
        <f aca="false">J5*Parametros!$B$15+Parametros!$B$16</f>
        <v>0.55299185</v>
      </c>
      <c r="O5" s="7" t="n">
        <f aca="false">IF(D5&gt;0,J5*Parametros!$B$17+Parametros!$B$18,0)</f>
        <v>0.0721293717391304</v>
      </c>
      <c r="P5" s="7" t="n">
        <f aca="false">N5-O5</f>
        <v>0.48086247826087</v>
      </c>
      <c r="Q5" s="7" t="n">
        <f aca="false">Parametros!$B$38+J5*Parametros!$B$37</f>
        <v>0.18245</v>
      </c>
      <c r="R5" s="22" t="n">
        <f aca="false">M5-P5-Q5</f>
        <v>1.99755708695652</v>
      </c>
      <c r="S5" s="23" t="n">
        <f aca="false">IF(E5=0,0,R5/E5)</f>
        <v>0.199755708695652</v>
      </c>
      <c r="T5" s="7" t="n">
        <f aca="false">IF(B5="agencia",E5-L5*(1+Parametros!$B$21),E5-L5)</f>
        <v>8.2</v>
      </c>
      <c r="U5" s="7" t="n">
        <f aca="false">Parametros!$B$27*Parametros!$B$22*IF(B5="agencia",M5,E5+H5)</f>
        <v>0.130330434782609</v>
      </c>
      <c r="V5" s="7" t="n">
        <f aca="false">Parametros!$B$28*(IF(B5="agencia",0,F5*IF(C5="S",Parametros!$B$24,Parametros!$B$23))+I5*Parametros!$B$24)</f>
        <v>0.684234782608695</v>
      </c>
      <c r="W5" s="7" t="n">
        <f aca="false">IF(B5="agencia",L5*Parametros!$B$21+I5,F5+I5-(E5-L5)*D5*IF(C5="S",Parametros!$B$29,Parametros!$B$30))-O5</f>
        <v>0.942001063043478</v>
      </c>
      <c r="X5" s="7" t="n">
        <f aca="false">MAX(V5-MAX(W5,0),0)</f>
        <v>0</v>
      </c>
      <c r="Y5" s="7" t="n">
        <f aca="false">MAX(W5-V5,0)</f>
        <v>0.257766280434783</v>
      </c>
    </row>
    <row r="6" customFormat="false" ht="15" hidden="false" customHeight="false" outlineLevel="0" collapsed="false">
      <c r="A6" s="19" t="str">
        <f aca="false">Parametros!A63</f>
        <v>Grooming</v>
      </c>
      <c r="B6" s="19" t="str">
        <f aca="false">Parametros!B63</f>
        <v>reventa</v>
      </c>
      <c r="C6" s="19" t="str">
        <f aca="false">Parametros!C63</f>
        <v>S</v>
      </c>
      <c r="D6" s="20" t="n">
        <f aca="false">Parametros!D63</f>
        <v>0.15</v>
      </c>
      <c r="E6" s="21" t="n">
        <f aca="false">Parametros!E63</f>
        <v>25</v>
      </c>
      <c r="F6" s="7" t="n">
        <f aca="false">E6*D6</f>
        <v>3.75</v>
      </c>
      <c r="G6" s="21" t="n">
        <f aca="false">Parametros!I63</f>
        <v>0.99</v>
      </c>
      <c r="H6" s="7" t="n">
        <f aca="false">G6/(1+Parametros!$B$21)</f>
        <v>0.860869565217391</v>
      </c>
      <c r="I6" s="7" t="n">
        <f aca="false">G6-H6</f>
        <v>0.129130434782609</v>
      </c>
      <c r="J6" s="7" t="n">
        <f aca="false">E6+F6+G6</f>
        <v>29.74</v>
      </c>
      <c r="K6" s="20" t="n">
        <f aca="false">Parametros!G63</f>
        <v>0.18</v>
      </c>
      <c r="L6" s="7" t="n">
        <f aca="false">MAX(E6*K6,Parametros!H63)</f>
        <v>4.5</v>
      </c>
      <c r="M6" s="7" t="n">
        <f aca="false">L6+H6</f>
        <v>5.36086956521739</v>
      </c>
      <c r="N6" s="7" t="n">
        <f aca="false">J6*Parametros!$B$15+Parametros!$B$16</f>
        <v>1.2786131</v>
      </c>
      <c r="O6" s="7" t="n">
        <f aca="false">IF(D6&gt;0,J6*Parametros!$B$17+Parametros!$B$18,0)</f>
        <v>0.16677562173913</v>
      </c>
      <c r="P6" s="7" t="n">
        <f aca="false">N6-O6</f>
        <v>1.11183747826087</v>
      </c>
      <c r="Q6" s="7" t="n">
        <f aca="false">Parametros!$B$38+J6*Parametros!$B$37</f>
        <v>0.2687</v>
      </c>
      <c r="R6" s="22" t="n">
        <f aca="false">M6-P6-Q6</f>
        <v>3.98033208695652</v>
      </c>
      <c r="S6" s="23" t="n">
        <f aca="false">IF(E6=0,0,R6/E6)</f>
        <v>0.159213283478261</v>
      </c>
      <c r="T6" s="7" t="n">
        <f aca="false">IF(B6="agencia",E6-L6*(1+Parametros!$B$21),E6-L6)</f>
        <v>20.5</v>
      </c>
      <c r="U6" s="7" t="n">
        <f aca="false">Parametros!$B$27*Parametros!$B$22*IF(B6="agencia",M6,E6+H6)</f>
        <v>0.310330434782609</v>
      </c>
      <c r="V6" s="7" t="n">
        <f aca="false">Parametros!$B$28*(IF(B6="agencia",0,F6*IF(C6="S",Parametros!$B$24,Parametros!$B$23))+I6*Parametros!$B$24)</f>
        <v>1.6292347826087</v>
      </c>
      <c r="W6" s="7" t="n">
        <f aca="false">IF(B6="agencia",L6*Parametros!$B$21+I6,F6+I6-(E6-L6)*D6*IF(C6="S",Parametros!$B$29,Parametros!$B$30))-O6</f>
        <v>2.17485481304348</v>
      </c>
      <c r="X6" s="7" t="n">
        <f aca="false">MAX(V6-MAX(W6,0),0)</f>
        <v>0</v>
      </c>
      <c r="Y6" s="7" t="n">
        <f aca="false">MAX(W6-V6,0)</f>
        <v>0.545620030434783</v>
      </c>
    </row>
    <row r="7" customFormat="false" ht="15" hidden="false" customHeight="false" outlineLevel="0" collapsed="false">
      <c r="A7" s="19" t="str">
        <f aca="false">Parametros!A64</f>
        <v>Guardería (día)</v>
      </c>
      <c r="B7" s="19" t="str">
        <f aca="false">Parametros!B64</f>
        <v>reventa</v>
      </c>
      <c r="C7" s="19" t="str">
        <f aca="false">Parametros!C64</f>
        <v>S</v>
      </c>
      <c r="D7" s="20" t="n">
        <f aca="false">Parametros!D64</f>
        <v>0.15</v>
      </c>
      <c r="E7" s="21" t="n">
        <f aca="false">Parametros!E64</f>
        <v>18</v>
      </c>
      <c r="F7" s="7" t="n">
        <f aca="false">E7*D7</f>
        <v>2.7</v>
      </c>
      <c r="G7" s="21" t="n">
        <f aca="false">Parametros!I64</f>
        <v>0.99</v>
      </c>
      <c r="H7" s="7" t="n">
        <f aca="false">G7/(1+Parametros!$B$21)</f>
        <v>0.860869565217391</v>
      </c>
      <c r="I7" s="7" t="n">
        <f aca="false">G7-H7</f>
        <v>0.129130434782609</v>
      </c>
      <c r="J7" s="7" t="n">
        <f aca="false">E7+F7+G7</f>
        <v>21.69</v>
      </c>
      <c r="K7" s="20" t="n">
        <f aca="false">Parametros!G64</f>
        <v>0.18</v>
      </c>
      <c r="L7" s="7" t="n">
        <f aca="false">MAX(E7*K7,Parametros!H64)</f>
        <v>3.24</v>
      </c>
      <c r="M7" s="7" t="n">
        <f aca="false">L7+H7</f>
        <v>4.10086956521739</v>
      </c>
      <c r="N7" s="7" t="n">
        <f aca="false">J7*Parametros!$B$15+Parametros!$B$16</f>
        <v>0.93998985</v>
      </c>
      <c r="O7" s="7" t="n">
        <f aca="false">IF(D7&gt;0,J7*Parametros!$B$17+Parametros!$B$18,0)</f>
        <v>0.12260737173913</v>
      </c>
      <c r="P7" s="7" t="n">
        <f aca="false">N7-O7</f>
        <v>0.817382478260869</v>
      </c>
      <c r="Q7" s="7" t="n">
        <f aca="false">Parametros!$B$38+J7*Parametros!$B$37</f>
        <v>0.22845</v>
      </c>
      <c r="R7" s="22" t="n">
        <f aca="false">M7-P7-Q7</f>
        <v>3.05503708695652</v>
      </c>
      <c r="S7" s="23" t="n">
        <f aca="false">IF(E7=0,0,R7/E7)</f>
        <v>0.169724282608696</v>
      </c>
      <c r="T7" s="7" t="n">
        <f aca="false">IF(B7="agencia",E7-L7*(1+Parametros!$B$21),E7-L7)</f>
        <v>14.76</v>
      </c>
      <c r="U7" s="7" t="n">
        <f aca="false">Parametros!$B$27*Parametros!$B$22*IF(B7="agencia",M7,E7+H7)</f>
        <v>0.226330434782609</v>
      </c>
      <c r="V7" s="7" t="n">
        <f aca="false">Parametros!$B$28*(IF(B7="agencia",0,F7*IF(C7="S",Parametros!$B$24,Parametros!$B$23))+I7*Parametros!$B$24)</f>
        <v>1.1882347826087</v>
      </c>
      <c r="W7" s="7" t="n">
        <f aca="false">IF(B7="agencia",L7*Parametros!$B$21+I7,F7+I7-(E7-L7)*D7*IF(C7="S",Parametros!$B$29,Parametros!$B$30))-O7</f>
        <v>1.59952306304348</v>
      </c>
      <c r="X7" s="7" t="n">
        <f aca="false">MAX(V7-MAX(W7,0),0)</f>
        <v>0</v>
      </c>
      <c r="Y7" s="7" t="n">
        <f aca="false">MAX(W7-V7,0)</f>
        <v>0.411288280434782</v>
      </c>
    </row>
    <row r="8" customFormat="false" ht="15" hidden="false" customHeight="false" outlineLevel="0" collapsed="false">
      <c r="A8" s="19" t="str">
        <f aca="false">Parametros!A65</f>
        <v>Adiestramiento (sesión)</v>
      </c>
      <c r="B8" s="19" t="str">
        <f aca="false">Parametros!B65</f>
        <v>reventa</v>
      </c>
      <c r="C8" s="19" t="str">
        <f aca="false">Parametros!C65</f>
        <v>S</v>
      </c>
      <c r="D8" s="20" t="n">
        <f aca="false">Parametros!D65</f>
        <v>0.15</v>
      </c>
      <c r="E8" s="21" t="n">
        <f aca="false">Parametros!E65</f>
        <v>20</v>
      </c>
      <c r="F8" s="7" t="n">
        <f aca="false">E8*D8</f>
        <v>3</v>
      </c>
      <c r="G8" s="21" t="n">
        <f aca="false">Parametros!I65</f>
        <v>0.99</v>
      </c>
      <c r="H8" s="7" t="n">
        <f aca="false">G8/(1+Parametros!$B$21)</f>
        <v>0.860869565217391</v>
      </c>
      <c r="I8" s="7" t="n">
        <f aca="false">G8-H8</f>
        <v>0.129130434782609</v>
      </c>
      <c r="J8" s="7" t="n">
        <f aca="false">E8+F8+G8</f>
        <v>23.99</v>
      </c>
      <c r="K8" s="20" t="n">
        <f aca="false">Parametros!G65</f>
        <v>0.18</v>
      </c>
      <c r="L8" s="7" t="n">
        <f aca="false">MAX(E8*K8,Parametros!H65)</f>
        <v>3.6</v>
      </c>
      <c r="M8" s="7" t="n">
        <f aca="false">L8+H8</f>
        <v>4.46086956521739</v>
      </c>
      <c r="N8" s="7" t="n">
        <f aca="false">J8*Parametros!$B$15+Parametros!$B$16</f>
        <v>1.03673935</v>
      </c>
      <c r="O8" s="7" t="n">
        <f aca="false">IF(D8&gt;0,J8*Parametros!$B$17+Parametros!$B$18,0)</f>
        <v>0.13522687173913</v>
      </c>
      <c r="P8" s="7" t="n">
        <f aca="false">N8-O8</f>
        <v>0.90151247826087</v>
      </c>
      <c r="Q8" s="7" t="n">
        <f aca="false">Parametros!$B$38+J8*Parametros!$B$37</f>
        <v>0.23995</v>
      </c>
      <c r="R8" s="22" t="n">
        <f aca="false">M8-P8-Q8</f>
        <v>3.31940708695652</v>
      </c>
      <c r="S8" s="23" t="n">
        <f aca="false">IF(E8=0,0,R8/E8)</f>
        <v>0.165970354347826</v>
      </c>
      <c r="T8" s="7" t="n">
        <f aca="false">IF(B8="agencia",E8-L8*(1+Parametros!$B$21),E8-L8)</f>
        <v>16.4</v>
      </c>
      <c r="U8" s="7" t="n">
        <f aca="false">Parametros!$B$27*Parametros!$B$22*IF(B8="agencia",M8,E8+H8)</f>
        <v>0.250330434782609</v>
      </c>
      <c r="V8" s="7" t="n">
        <f aca="false">Parametros!$B$28*(IF(B8="agencia",0,F8*IF(C8="S",Parametros!$B$24,Parametros!$B$23))+I8*Parametros!$B$24)</f>
        <v>1.3142347826087</v>
      </c>
      <c r="W8" s="7" t="n">
        <f aca="false">IF(B8="agencia",L8*Parametros!$B$21+I8,F8+I8-(E8-L8)*D8*IF(C8="S",Parametros!$B$29,Parametros!$B$30))-O8</f>
        <v>1.76390356304348</v>
      </c>
      <c r="X8" s="7" t="n">
        <f aca="false">MAX(V8-MAX(W8,0),0)</f>
        <v>0</v>
      </c>
      <c r="Y8" s="7" t="n">
        <f aca="false">MAX(W8-V8,0)</f>
        <v>0.449668780434783</v>
      </c>
    </row>
    <row r="9" customFormat="false" ht="15" hidden="false" customHeight="false" outlineLevel="0" collapsed="false">
      <c r="A9" s="19" t="str">
        <f aca="false">Parametros!A66</f>
        <v>Veterinaria consulta</v>
      </c>
      <c r="B9" s="19" t="str">
        <f aca="false">Parametros!B66</f>
        <v>agencia</v>
      </c>
      <c r="C9" s="19" t="str">
        <f aca="false">Parametros!C66</f>
        <v>S</v>
      </c>
      <c r="D9" s="20" t="n">
        <f aca="false">Parametros!D66</f>
        <v>0</v>
      </c>
      <c r="E9" s="21" t="n">
        <f aca="false">Parametros!E66</f>
        <v>40</v>
      </c>
      <c r="F9" s="7" t="n">
        <f aca="false">E9*D9</f>
        <v>0</v>
      </c>
      <c r="G9" s="21" t="n">
        <f aca="false">Parametros!I66</f>
        <v>0.99</v>
      </c>
      <c r="H9" s="7" t="n">
        <f aca="false">G9/(1+Parametros!$B$21)</f>
        <v>0.860869565217391</v>
      </c>
      <c r="I9" s="7" t="n">
        <f aca="false">G9-H9</f>
        <v>0.129130434782609</v>
      </c>
      <c r="J9" s="7" t="n">
        <f aca="false">E9+F9+G9</f>
        <v>40.99</v>
      </c>
      <c r="K9" s="20" t="n">
        <f aca="false">Parametros!G66</f>
        <v>0.12</v>
      </c>
      <c r="L9" s="7" t="n">
        <f aca="false">MAX(E9*K9,Parametros!H66)</f>
        <v>4.8</v>
      </c>
      <c r="M9" s="7" t="n">
        <f aca="false">L9+H9</f>
        <v>5.66086956521739</v>
      </c>
      <c r="N9" s="7" t="n">
        <f aca="false">J9*Parametros!$B$15+Parametros!$B$16</f>
        <v>1.75184435</v>
      </c>
      <c r="O9" s="7" t="n">
        <f aca="false">IF(D9&gt;0,J9*Parametros!$B$17+Parametros!$B$18,0)</f>
        <v>0</v>
      </c>
      <c r="P9" s="7" t="n">
        <f aca="false">N9-O9</f>
        <v>1.75184435</v>
      </c>
      <c r="Q9" s="7" t="n">
        <f aca="false">Parametros!$B$38+J9*Parametros!$B$37</f>
        <v>0.32495</v>
      </c>
      <c r="R9" s="22" t="n">
        <f aca="false">M9-P9-Q9</f>
        <v>3.58407521521739</v>
      </c>
      <c r="S9" s="23" t="n">
        <f aca="false">IF(E9=0,0,R9/E9)</f>
        <v>0.0896018803804348</v>
      </c>
      <c r="T9" s="7" t="n">
        <f aca="false">IF(B9="agencia",E9-L9*(1+Parametros!$B$21),E9-L9)</f>
        <v>34.48</v>
      </c>
      <c r="U9" s="7" t="n">
        <f aca="false">Parametros!$B$27*Parametros!$B$22*IF(B9="agencia",M9,E9+H9)</f>
        <v>0.0679304347826087</v>
      </c>
      <c r="V9" s="7" t="n">
        <f aca="false">Parametros!$B$28*(IF(B9="agencia",0,F9*IF(C9="S",Parametros!$B$24,Parametros!$B$23))+I9*Parametros!$B$24)</f>
        <v>0.0542347826086956</v>
      </c>
      <c r="W9" s="7" t="n">
        <f aca="false">IF(B9="agencia",L9*Parametros!$B$21+I9,F9+I9-(E9-L9)*D9*IF(C9="S",Parametros!$B$29,Parametros!$B$30))-O9</f>
        <v>0.849130434782609</v>
      </c>
      <c r="X9" s="7" t="n">
        <f aca="false">MAX(V9-MAX(W9,0),0)</f>
        <v>0</v>
      </c>
      <c r="Y9" s="7" t="n">
        <f aca="false">MAX(W9-V9,0)</f>
        <v>0.794895652173913</v>
      </c>
    </row>
    <row r="10" customFormat="false" ht="15" hidden="false" customHeight="false" outlineLevel="0" collapsed="false">
      <c r="A10" s="19" t="str">
        <f aca="false">Parametros!A67</f>
        <v>Telemedicina</v>
      </c>
      <c r="B10" s="19" t="str">
        <f aca="false">Parametros!B67</f>
        <v>agencia</v>
      </c>
      <c r="C10" s="19" t="str">
        <f aca="false">Parametros!C67</f>
        <v>S</v>
      </c>
      <c r="D10" s="20" t="n">
        <f aca="false">Parametros!D67</f>
        <v>0</v>
      </c>
      <c r="E10" s="21" t="n">
        <f aca="false">Parametros!E67</f>
        <v>20</v>
      </c>
      <c r="F10" s="7" t="n">
        <f aca="false">E10*D10</f>
        <v>0</v>
      </c>
      <c r="G10" s="21" t="n">
        <f aca="false">Parametros!I67</f>
        <v>0.99</v>
      </c>
      <c r="H10" s="7" t="n">
        <f aca="false">G10/(1+Parametros!$B$21)</f>
        <v>0.860869565217391</v>
      </c>
      <c r="I10" s="7" t="n">
        <f aca="false">G10-H10</f>
        <v>0.129130434782609</v>
      </c>
      <c r="J10" s="7" t="n">
        <f aca="false">E10+F10+G10</f>
        <v>20.99</v>
      </c>
      <c r="K10" s="20" t="n">
        <f aca="false">Parametros!G67</f>
        <v>0.12</v>
      </c>
      <c r="L10" s="7" t="n">
        <f aca="false">MAX(E10*K10,Parametros!H67)</f>
        <v>2.4</v>
      </c>
      <c r="M10" s="7" t="n">
        <f aca="false">L10+H10</f>
        <v>3.26086956521739</v>
      </c>
      <c r="N10" s="7" t="n">
        <f aca="false">J10*Parametros!$B$15+Parametros!$B$16</f>
        <v>0.91054435</v>
      </c>
      <c r="O10" s="7" t="n">
        <f aca="false">IF(D10&gt;0,J10*Parametros!$B$17+Parametros!$B$18,0)</f>
        <v>0</v>
      </c>
      <c r="P10" s="7" t="n">
        <f aca="false">N10-O10</f>
        <v>0.91054435</v>
      </c>
      <c r="Q10" s="7" t="n">
        <f aca="false">Parametros!$B$38+J10*Parametros!$B$37</f>
        <v>0.22495</v>
      </c>
      <c r="R10" s="22" t="n">
        <f aca="false">M10-P10-Q10</f>
        <v>2.12537521521739</v>
      </c>
      <c r="S10" s="23" t="n">
        <f aca="false">IF(E10=0,0,R10/E10)</f>
        <v>0.10626876076087</v>
      </c>
      <c r="T10" s="7" t="n">
        <f aca="false">IF(B10="agencia",E10-L10*(1+Parametros!$B$21),E10-L10)</f>
        <v>17.24</v>
      </c>
      <c r="U10" s="7" t="n">
        <f aca="false">Parametros!$B$27*Parametros!$B$22*IF(B10="agencia",M10,E10+H10)</f>
        <v>0.0391304347826087</v>
      </c>
      <c r="V10" s="7" t="n">
        <f aca="false">Parametros!$B$28*(IF(B10="agencia",0,F10*IF(C10="S",Parametros!$B$24,Parametros!$B$23))+I10*Parametros!$B$24)</f>
        <v>0.0542347826086956</v>
      </c>
      <c r="W10" s="7" t="n">
        <f aca="false">IF(B10="agencia",L10*Parametros!$B$21+I10,F10+I10-(E10-L10)*D10*IF(C10="S",Parametros!$B$29,Parametros!$B$30))-O10</f>
        <v>0.489130434782609</v>
      </c>
      <c r="X10" s="7" t="n">
        <f aca="false">MAX(V10-MAX(W10,0),0)</f>
        <v>0</v>
      </c>
      <c r="Y10" s="7" t="n">
        <f aca="false">MAX(W10-V10,0)</f>
        <v>0.434895652173913</v>
      </c>
    </row>
    <row r="11" customFormat="false" ht="15" hidden="false" customHeight="false" outlineLevel="0" collapsed="false">
      <c r="A11" s="19" t="str">
        <f aca="false">Parametros!A68</f>
        <v>Despensa — alimento balanceado</v>
      </c>
      <c r="B11" s="19" t="str">
        <f aca="false">Parametros!B68</f>
        <v>reventa</v>
      </c>
      <c r="C11" s="19" t="str">
        <f aca="false">Parametros!C68</f>
        <v>B</v>
      </c>
      <c r="D11" s="20" t="n">
        <f aca="false">Parametros!D68</f>
        <v>0</v>
      </c>
      <c r="E11" s="21" t="n">
        <f aca="false">Parametros!E68</f>
        <v>45</v>
      </c>
      <c r="F11" s="7" t="n">
        <f aca="false">E11*D11</f>
        <v>0</v>
      </c>
      <c r="G11" s="21" t="n">
        <f aca="false">Parametros!I68</f>
        <v>0.99</v>
      </c>
      <c r="H11" s="7" t="n">
        <f aca="false">G11/(1+Parametros!$B$21)</f>
        <v>0.860869565217391</v>
      </c>
      <c r="I11" s="7" t="n">
        <f aca="false">G11-H11</f>
        <v>0.129130434782609</v>
      </c>
      <c r="J11" s="7" t="n">
        <f aca="false">E11+F11+G11</f>
        <v>45.99</v>
      </c>
      <c r="K11" s="20" t="n">
        <f aca="false">Parametros!G68</f>
        <v>0.15</v>
      </c>
      <c r="L11" s="7" t="n">
        <f aca="false">MAX(E11*K11,Parametros!H68)</f>
        <v>6.75</v>
      </c>
      <c r="M11" s="7" t="n">
        <f aca="false">L11+H11</f>
        <v>7.61086956521739</v>
      </c>
      <c r="N11" s="7" t="n">
        <f aca="false">J11*Parametros!$B$15+Parametros!$B$16</f>
        <v>1.96216935</v>
      </c>
      <c r="O11" s="7" t="n">
        <f aca="false">IF(D11&gt;0,J11*Parametros!$B$17+Parametros!$B$18,0)</f>
        <v>0</v>
      </c>
      <c r="P11" s="7" t="n">
        <f aca="false">N11-O11</f>
        <v>1.96216935</v>
      </c>
      <c r="Q11" s="7" t="n">
        <f aca="false">Parametros!$B$38+J11*Parametros!$B$37</f>
        <v>0.34995</v>
      </c>
      <c r="R11" s="22" t="n">
        <f aca="false">M11-P11-Q11</f>
        <v>5.29875021521739</v>
      </c>
      <c r="S11" s="23" t="n">
        <f aca="false">IF(E11=0,0,R11/E11)</f>
        <v>0.117750004782609</v>
      </c>
      <c r="T11" s="7" t="n">
        <f aca="false">IF(B11="agencia",E11-L11*(1+Parametros!$B$21),E11-L11)</f>
        <v>38.25</v>
      </c>
      <c r="U11" s="7" t="n">
        <f aca="false">Parametros!$B$27*Parametros!$B$22*IF(B11="agencia",M11,E11+H11)</f>
        <v>0.550330434782609</v>
      </c>
      <c r="V11" s="7" t="n">
        <f aca="false">Parametros!$B$28*(IF(B11="agencia",0,F11*IF(C11="S",Parametros!$B$24,Parametros!$B$23))+I11*Parametros!$B$24)</f>
        <v>0.0542347826086956</v>
      </c>
      <c r="W11" s="7" t="n">
        <f aca="false">IF(B11="agencia",L11*Parametros!$B$21+I11,F11+I11-(E11-L11)*D11*IF(C11="S",Parametros!$B$29,Parametros!$B$30))-O11</f>
        <v>0.129130434782609</v>
      </c>
      <c r="X11" s="7" t="n">
        <f aca="false">MAX(V11-MAX(W11,0),0)</f>
        <v>0</v>
      </c>
      <c r="Y11" s="7" t="n">
        <f aca="false">MAX(W11-V11,0)</f>
        <v>0.074895652173913</v>
      </c>
    </row>
    <row r="12" customFormat="false" ht="15" hidden="false" customHeight="false" outlineLevel="0" collapsed="false">
      <c r="A12" s="19" t="str">
        <f aca="false">Parametros!A69</f>
        <v>Despensa — snack / accesorio</v>
      </c>
      <c r="B12" s="19" t="str">
        <f aca="false">Parametros!B69</f>
        <v>reventa</v>
      </c>
      <c r="C12" s="19" t="str">
        <f aca="false">Parametros!C69</f>
        <v>B</v>
      </c>
      <c r="D12" s="20" t="n">
        <f aca="false">Parametros!D69</f>
        <v>0.15</v>
      </c>
      <c r="E12" s="21" t="n">
        <f aca="false">Parametros!E69</f>
        <v>12</v>
      </c>
      <c r="F12" s="7" t="n">
        <f aca="false">E12*D12</f>
        <v>1.8</v>
      </c>
      <c r="G12" s="21" t="n">
        <f aca="false">Parametros!I69</f>
        <v>0.99</v>
      </c>
      <c r="H12" s="7" t="n">
        <f aca="false">G12/(1+Parametros!$B$21)</f>
        <v>0.860869565217391</v>
      </c>
      <c r="I12" s="7" t="n">
        <f aca="false">G12-H12</f>
        <v>0.129130434782609</v>
      </c>
      <c r="J12" s="7" t="n">
        <f aca="false">E12+F12+G12</f>
        <v>14.79</v>
      </c>
      <c r="K12" s="20" t="n">
        <f aca="false">Parametros!G69</f>
        <v>0.15</v>
      </c>
      <c r="L12" s="7" t="n">
        <f aca="false">MAX(E12*K12,Parametros!H69)</f>
        <v>1.8</v>
      </c>
      <c r="M12" s="7" t="n">
        <f aca="false">L12+H12</f>
        <v>2.66086956521739</v>
      </c>
      <c r="N12" s="7" t="n">
        <f aca="false">J12*Parametros!$B$15+Parametros!$B$16</f>
        <v>0.64974135</v>
      </c>
      <c r="O12" s="7" t="n">
        <f aca="false">IF(D12&gt;0,J12*Parametros!$B$17+Parametros!$B$18,0)</f>
        <v>0.0847488717391304</v>
      </c>
      <c r="P12" s="7" t="n">
        <f aca="false">N12-O12</f>
        <v>0.56499247826087</v>
      </c>
      <c r="Q12" s="7" t="n">
        <f aca="false">Parametros!$B$38+J12*Parametros!$B$37</f>
        <v>0.19395</v>
      </c>
      <c r="R12" s="22" t="n">
        <f aca="false">M12-P12-Q12</f>
        <v>1.90192708695652</v>
      </c>
      <c r="S12" s="23" t="n">
        <f aca="false">IF(E12=0,0,R12/E12)</f>
        <v>0.158493923913043</v>
      </c>
      <c r="T12" s="7" t="n">
        <f aca="false">IF(B12="agencia",E12-L12*(1+Parametros!$B$21),E12-L12)</f>
        <v>10.2</v>
      </c>
      <c r="U12" s="7" t="n">
        <f aca="false">Parametros!$B$27*Parametros!$B$22*IF(B12="agencia",M12,E12+H12)</f>
        <v>0.154330434782609</v>
      </c>
      <c r="V12" s="7" t="n">
        <f aca="false">Parametros!$B$28*(IF(B12="agencia",0,F12*IF(C12="S",Parametros!$B$24,Parametros!$B$23))+I12*Parametros!$B$24)</f>
        <v>0.378234782608696</v>
      </c>
      <c r="W12" s="7" t="n">
        <f aca="false">IF(B12="agencia",L12*Parametros!$B$21+I12,F12+I12-(E12-L12)*D12*IF(C12="S",Parametros!$B$29,Parametros!$B$30))-O12</f>
        <v>0.314381563043478</v>
      </c>
      <c r="X12" s="7" t="n">
        <f aca="false">MAX(V12-MAX(W12,0),0)</f>
        <v>0.0638532195652175</v>
      </c>
      <c r="Y12" s="7" t="n">
        <f aca="false">MAX(W12-V12,0)</f>
        <v>0</v>
      </c>
    </row>
    <row r="13" customFormat="false" ht="15" hidden="false" customHeight="false" outlineLevel="0" collapsed="false">
      <c r="A13" s="19" t="str">
        <f aca="false">Parametros!A70</f>
        <v>Paquete 10 paseos (prepago)</v>
      </c>
      <c r="B13" s="19" t="str">
        <f aca="false">Parametros!B70</f>
        <v>reventa</v>
      </c>
      <c r="C13" s="19" t="str">
        <f aca="false">Parametros!C70</f>
        <v>S</v>
      </c>
      <c r="D13" s="20" t="n">
        <f aca="false">Parametros!D70</f>
        <v>0.15</v>
      </c>
      <c r="E13" s="21" t="n">
        <f aca="false">Parametros!E70</f>
        <v>95</v>
      </c>
      <c r="F13" s="7" t="n">
        <f aca="false">E13*D13</f>
        <v>14.25</v>
      </c>
      <c r="G13" s="21" t="n">
        <f aca="false">Parametros!I70</f>
        <v>0.99</v>
      </c>
      <c r="H13" s="7" t="n">
        <f aca="false">G13/(1+Parametros!$B$21)</f>
        <v>0.860869565217391</v>
      </c>
      <c r="I13" s="7" t="n">
        <f aca="false">G13-H13</f>
        <v>0.129130434782609</v>
      </c>
      <c r="J13" s="7" t="n">
        <f aca="false">E13+F13+G13</f>
        <v>110.24</v>
      </c>
      <c r="K13" s="20" t="n">
        <f aca="false">Parametros!G70</f>
        <v>0.18</v>
      </c>
      <c r="L13" s="7" t="n">
        <f aca="false">MAX(E13*K13,Parametros!H70)</f>
        <v>17.1</v>
      </c>
      <c r="M13" s="7" t="n">
        <f aca="false">L13+H13</f>
        <v>17.9608695652174</v>
      </c>
      <c r="N13" s="7" t="n">
        <f aca="false">J13*Parametros!$B$15+Parametros!$B$16</f>
        <v>4.6648456</v>
      </c>
      <c r="O13" s="7" t="n">
        <f aca="false">IF(D13&gt;0,J13*Parametros!$B$17+Parametros!$B$18,0)</f>
        <v>0.60845812173913</v>
      </c>
      <c r="P13" s="7" t="n">
        <f aca="false">N13-O13</f>
        <v>4.05638747826087</v>
      </c>
      <c r="Q13" s="7" t="n">
        <f aca="false">Parametros!$B$38+J13*Parametros!$B$37</f>
        <v>0.6712</v>
      </c>
      <c r="R13" s="22" t="n">
        <f aca="false">M13-P13-Q13</f>
        <v>13.2332820869565</v>
      </c>
      <c r="S13" s="23" t="n">
        <f aca="false">IF(E13=0,0,R13/E13)</f>
        <v>0.13929770617849</v>
      </c>
      <c r="T13" s="7" t="n">
        <f aca="false">IF(B13="agencia",E13-L13*(1+Parametros!$B$21),E13-L13)</f>
        <v>77.9</v>
      </c>
      <c r="U13" s="7" t="n">
        <f aca="false">Parametros!$B$27*Parametros!$B$22*IF(B13="agencia",M13,E13+H13)</f>
        <v>1.15033043478261</v>
      </c>
      <c r="V13" s="7" t="n">
        <f aca="false">Parametros!$B$28*(IF(B13="agencia",0,F13*IF(C13="S",Parametros!$B$24,Parametros!$B$23))+I13*Parametros!$B$24)</f>
        <v>6.0392347826087</v>
      </c>
      <c r="W13" s="7" t="n">
        <f aca="false">IF(B13="agencia",L13*Parametros!$B$21+I13,F13+I13-(E13-L13)*D13*IF(C13="S",Parametros!$B$29,Parametros!$B$30))-O13</f>
        <v>7.92817231304348</v>
      </c>
      <c r="X13" s="7" t="n">
        <f aca="false">MAX(V13-MAX(W13,0),0)</f>
        <v>0</v>
      </c>
      <c r="Y13" s="7" t="n">
        <f aca="false">MAX(W13-V13,0)</f>
        <v>1.88893753043478</v>
      </c>
    </row>
    <row r="15" customFormat="false" ht="15" hidden="false" customHeight="false" outlineLevel="0" collapsed="false">
      <c r="A15" s="2" t="s">
        <v>160</v>
      </c>
    </row>
    <row r="16" customFormat="false" ht="15" hidden="false" customHeight="false" outlineLevel="0" collapsed="false">
      <c r="A16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4" min="3" style="0" width="11"/>
  </cols>
  <sheetData>
    <row r="1" customFormat="false" ht="16.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3" customFormat="false" ht="15" hidden="false" customHeight="false" outlineLevel="0" collapsed="false">
      <c r="A3" s="2" t="s">
        <v>165</v>
      </c>
      <c r="B3" s="11" t="n">
        <v>0.15</v>
      </c>
    </row>
    <row r="4" customFormat="false" ht="15" hidden="false" customHeight="false" outlineLevel="0" collapsed="false">
      <c r="A4" s="2" t="s">
        <v>166</v>
      </c>
      <c r="C4" s="24" t="n">
        <v>1</v>
      </c>
      <c r="D4" s="24" t="n">
        <v>1</v>
      </c>
      <c r="E4" s="24" t="n">
        <v>1</v>
      </c>
      <c r="F4" s="24" t="n">
        <v>2</v>
      </c>
      <c r="G4" s="24" t="n">
        <v>2</v>
      </c>
      <c r="H4" s="24" t="n">
        <v>2</v>
      </c>
      <c r="I4" s="24" t="n">
        <v>2</v>
      </c>
      <c r="J4" s="24" t="n">
        <v>2</v>
      </c>
      <c r="K4" s="24" t="n">
        <v>2</v>
      </c>
      <c r="L4" s="24" t="n">
        <v>2</v>
      </c>
      <c r="M4" s="24" t="n">
        <v>2</v>
      </c>
      <c r="N4" s="24" t="n">
        <v>2</v>
      </c>
    </row>
    <row r="5" customFormat="false" ht="15" hidden="false" customHeight="false" outlineLevel="0" collapsed="false">
      <c r="A5" s="3" t="s">
        <v>167</v>
      </c>
      <c r="B5" s="3" t="s">
        <v>168</v>
      </c>
      <c r="C5" s="3" t="s">
        <v>169</v>
      </c>
      <c r="D5" s="3" t="s">
        <v>170</v>
      </c>
      <c r="E5" s="3" t="s">
        <v>171</v>
      </c>
      <c r="F5" s="3" t="s">
        <v>172</v>
      </c>
      <c r="G5" s="3" t="s">
        <v>173</v>
      </c>
      <c r="H5" s="3" t="s">
        <v>174</v>
      </c>
      <c r="I5" s="3" t="s">
        <v>175</v>
      </c>
      <c r="J5" s="3" t="s">
        <v>176</v>
      </c>
      <c r="K5" s="3" t="s">
        <v>177</v>
      </c>
      <c r="L5" s="3" t="s">
        <v>178</v>
      </c>
      <c r="M5" s="3" t="s">
        <v>179</v>
      </c>
      <c r="N5" s="3" t="s">
        <v>180</v>
      </c>
    </row>
    <row r="6" customFormat="false" ht="15" hidden="false" customHeight="false" outlineLevel="0" collapsed="false">
      <c r="A6" s="19" t="str">
        <f aca="false">Parametros!A62</f>
        <v>Paseo</v>
      </c>
      <c r="B6" s="13" t="n">
        <v>60</v>
      </c>
      <c r="C6" s="25" t="n">
        <f aca="false">$B6</f>
        <v>60</v>
      </c>
      <c r="D6" s="25" t="n">
        <f aca="false">C6*(1+$B$3)</f>
        <v>69</v>
      </c>
      <c r="E6" s="25" t="n">
        <f aca="false">D6*(1+$B$3)</f>
        <v>79.35</v>
      </c>
      <c r="F6" s="25" t="n">
        <f aca="false">E6*(1+$B$3)</f>
        <v>91.2525</v>
      </c>
      <c r="G6" s="25" t="n">
        <f aca="false">F6*(1+$B$3)</f>
        <v>104.940375</v>
      </c>
      <c r="H6" s="25" t="n">
        <f aca="false">G6*(1+$B$3)</f>
        <v>120.68143125</v>
      </c>
      <c r="I6" s="25" t="n">
        <f aca="false">H6*(1+$B$3)</f>
        <v>138.7836459375</v>
      </c>
      <c r="J6" s="25" t="n">
        <f aca="false">I6*(1+$B$3)</f>
        <v>159.601192828125</v>
      </c>
      <c r="K6" s="25" t="n">
        <f aca="false">J6*(1+$B$3)</f>
        <v>183.541371752344</v>
      </c>
      <c r="L6" s="25" t="n">
        <f aca="false">K6*(1+$B$3)</f>
        <v>211.072577515195</v>
      </c>
      <c r="M6" s="25" t="n">
        <f aca="false">L6*(1+$B$3)</f>
        <v>242.733464142474</v>
      </c>
      <c r="N6" s="25" t="n">
        <f aca="false">M6*(1+$B$3)</f>
        <v>279.143483763846</v>
      </c>
    </row>
    <row r="7" customFormat="false" ht="15" hidden="false" customHeight="false" outlineLevel="0" collapsed="false">
      <c r="A7" s="19" t="str">
        <f aca="false">Parametros!A63</f>
        <v>Grooming</v>
      </c>
      <c r="B7" s="13" t="n">
        <v>20</v>
      </c>
      <c r="C7" s="25" t="n">
        <f aca="false">$B7</f>
        <v>20</v>
      </c>
      <c r="D7" s="25" t="n">
        <f aca="false">C7*(1+$B$3)</f>
        <v>23</v>
      </c>
      <c r="E7" s="25" t="n">
        <f aca="false">D7*(1+$B$3)</f>
        <v>26.45</v>
      </c>
      <c r="F7" s="25" t="n">
        <f aca="false">E7*(1+$B$3)</f>
        <v>30.4175</v>
      </c>
      <c r="G7" s="25" t="n">
        <f aca="false">F7*(1+$B$3)</f>
        <v>34.980125</v>
      </c>
      <c r="H7" s="25" t="n">
        <f aca="false">G7*(1+$B$3)</f>
        <v>40.22714375</v>
      </c>
      <c r="I7" s="25" t="n">
        <f aca="false">H7*(1+$B$3)</f>
        <v>46.2612153125</v>
      </c>
      <c r="J7" s="25" t="n">
        <f aca="false">I7*(1+$B$3)</f>
        <v>53.200397609375</v>
      </c>
      <c r="K7" s="25" t="n">
        <f aca="false">J7*(1+$B$3)</f>
        <v>61.1804572507812</v>
      </c>
      <c r="L7" s="25" t="n">
        <f aca="false">K7*(1+$B$3)</f>
        <v>70.3575258383984</v>
      </c>
      <c r="M7" s="25" t="n">
        <f aca="false">L7*(1+$B$3)</f>
        <v>80.9111547141582</v>
      </c>
      <c r="N7" s="25" t="n">
        <f aca="false">M7*(1+$B$3)</f>
        <v>93.0478279212819</v>
      </c>
    </row>
    <row r="8" customFormat="false" ht="15" hidden="false" customHeight="false" outlineLevel="0" collapsed="false">
      <c r="A8" s="19" t="str">
        <f aca="false">Parametros!A64</f>
        <v>Guardería (día)</v>
      </c>
      <c r="B8" s="13" t="n">
        <v>10</v>
      </c>
      <c r="C8" s="25" t="n">
        <f aca="false">$B8</f>
        <v>10</v>
      </c>
      <c r="D8" s="25" t="n">
        <f aca="false">C8*(1+$B$3)</f>
        <v>11.5</v>
      </c>
      <c r="E8" s="25" t="n">
        <f aca="false">D8*(1+$B$3)</f>
        <v>13.225</v>
      </c>
      <c r="F8" s="25" t="n">
        <f aca="false">E8*(1+$B$3)</f>
        <v>15.20875</v>
      </c>
      <c r="G8" s="25" t="n">
        <f aca="false">F8*(1+$B$3)</f>
        <v>17.4900625</v>
      </c>
      <c r="H8" s="25" t="n">
        <f aca="false">G8*(1+$B$3)</f>
        <v>20.113571875</v>
      </c>
      <c r="I8" s="25" t="n">
        <f aca="false">H8*(1+$B$3)</f>
        <v>23.13060765625</v>
      </c>
      <c r="J8" s="25" t="n">
        <f aca="false">I8*(1+$B$3)</f>
        <v>26.6001988046875</v>
      </c>
      <c r="K8" s="25" t="n">
        <f aca="false">J8*(1+$B$3)</f>
        <v>30.5902286253906</v>
      </c>
      <c r="L8" s="25" t="n">
        <f aca="false">K8*(1+$B$3)</f>
        <v>35.1787629191992</v>
      </c>
      <c r="M8" s="25" t="n">
        <f aca="false">L8*(1+$B$3)</f>
        <v>40.4555773570791</v>
      </c>
      <c r="N8" s="25" t="n">
        <f aca="false">M8*(1+$B$3)</f>
        <v>46.5239139606409</v>
      </c>
    </row>
    <row r="9" customFormat="false" ht="15" hidden="false" customHeight="false" outlineLevel="0" collapsed="false">
      <c r="A9" s="19" t="str">
        <f aca="false">Parametros!A65</f>
        <v>Adiestramiento (sesión)</v>
      </c>
      <c r="B9" s="13" t="n">
        <v>5</v>
      </c>
      <c r="C9" s="25" t="n">
        <f aca="false">$B9</f>
        <v>5</v>
      </c>
      <c r="D9" s="25" t="n">
        <f aca="false">C9*(1+$B$3)</f>
        <v>5.75</v>
      </c>
      <c r="E9" s="25" t="n">
        <f aca="false">D9*(1+$B$3)</f>
        <v>6.6125</v>
      </c>
      <c r="F9" s="25" t="n">
        <f aca="false">E9*(1+$B$3)</f>
        <v>7.604375</v>
      </c>
      <c r="G9" s="25" t="n">
        <f aca="false">F9*(1+$B$3)</f>
        <v>8.74503125</v>
      </c>
      <c r="H9" s="25" t="n">
        <f aca="false">G9*(1+$B$3)</f>
        <v>10.0567859375</v>
      </c>
      <c r="I9" s="25" t="n">
        <f aca="false">H9*(1+$B$3)</f>
        <v>11.565303828125</v>
      </c>
      <c r="J9" s="25" t="n">
        <f aca="false">I9*(1+$B$3)</f>
        <v>13.3000994023437</v>
      </c>
      <c r="K9" s="25" t="n">
        <f aca="false">J9*(1+$B$3)</f>
        <v>15.2951143126953</v>
      </c>
      <c r="L9" s="25" t="n">
        <f aca="false">K9*(1+$B$3)</f>
        <v>17.5893814595996</v>
      </c>
      <c r="M9" s="25" t="n">
        <f aca="false">L9*(1+$B$3)</f>
        <v>20.2277886785395</v>
      </c>
      <c r="N9" s="25" t="n">
        <f aca="false">M9*(1+$B$3)</f>
        <v>23.2619569803205</v>
      </c>
    </row>
    <row r="10" customFormat="false" ht="15" hidden="false" customHeight="false" outlineLevel="0" collapsed="false">
      <c r="A10" s="19" t="str">
        <f aca="false">Parametros!A66</f>
        <v>Veterinaria consulta</v>
      </c>
      <c r="B10" s="13" t="n">
        <v>25</v>
      </c>
      <c r="C10" s="25" t="n">
        <f aca="false">$B10</f>
        <v>25</v>
      </c>
      <c r="D10" s="25" t="n">
        <f aca="false">C10*(1+$B$3)</f>
        <v>28.75</v>
      </c>
      <c r="E10" s="25" t="n">
        <f aca="false">D10*(1+$B$3)</f>
        <v>33.0625</v>
      </c>
      <c r="F10" s="25" t="n">
        <f aca="false">E10*(1+$B$3)</f>
        <v>38.021875</v>
      </c>
      <c r="G10" s="25" t="n">
        <f aca="false">F10*(1+$B$3)</f>
        <v>43.72515625</v>
      </c>
      <c r="H10" s="25" t="n">
        <f aca="false">G10*(1+$B$3)</f>
        <v>50.2839296875</v>
      </c>
      <c r="I10" s="25" t="n">
        <f aca="false">H10*(1+$B$3)</f>
        <v>57.826519140625</v>
      </c>
      <c r="J10" s="25" t="n">
        <f aca="false">I10*(1+$B$3)</f>
        <v>66.5004970117187</v>
      </c>
      <c r="K10" s="25" t="n">
        <f aca="false">J10*(1+$B$3)</f>
        <v>76.4755715634765</v>
      </c>
      <c r="L10" s="25" t="n">
        <f aca="false">K10*(1+$B$3)</f>
        <v>87.946907297998</v>
      </c>
      <c r="M10" s="25" t="n">
        <f aca="false">L10*(1+$B$3)</f>
        <v>101.138943392698</v>
      </c>
      <c r="N10" s="25" t="n">
        <f aca="false">M10*(1+$B$3)</f>
        <v>116.309784901602</v>
      </c>
    </row>
    <row r="11" customFormat="false" ht="15" hidden="false" customHeight="false" outlineLevel="0" collapsed="false">
      <c r="A11" s="19" t="str">
        <f aca="false">Parametros!A67</f>
        <v>Telemedicina</v>
      </c>
      <c r="B11" s="13" t="n">
        <v>5</v>
      </c>
      <c r="C11" s="25" t="n">
        <f aca="false">$B11</f>
        <v>5</v>
      </c>
      <c r="D11" s="25" t="n">
        <f aca="false">C11*(1+$B$3)</f>
        <v>5.75</v>
      </c>
      <c r="E11" s="25" t="n">
        <f aca="false">D11*(1+$B$3)</f>
        <v>6.6125</v>
      </c>
      <c r="F11" s="25" t="n">
        <f aca="false">E11*(1+$B$3)</f>
        <v>7.604375</v>
      </c>
      <c r="G11" s="25" t="n">
        <f aca="false">F11*(1+$B$3)</f>
        <v>8.74503125</v>
      </c>
      <c r="H11" s="25" t="n">
        <f aca="false">G11*(1+$B$3)</f>
        <v>10.0567859375</v>
      </c>
      <c r="I11" s="25" t="n">
        <f aca="false">H11*(1+$B$3)</f>
        <v>11.565303828125</v>
      </c>
      <c r="J11" s="25" t="n">
        <f aca="false">I11*(1+$B$3)</f>
        <v>13.3000994023437</v>
      </c>
      <c r="K11" s="25" t="n">
        <f aca="false">J11*(1+$B$3)</f>
        <v>15.2951143126953</v>
      </c>
      <c r="L11" s="25" t="n">
        <f aca="false">K11*(1+$B$3)</f>
        <v>17.5893814595996</v>
      </c>
      <c r="M11" s="25" t="n">
        <f aca="false">L11*(1+$B$3)</f>
        <v>20.2277886785395</v>
      </c>
      <c r="N11" s="25" t="n">
        <f aca="false">M11*(1+$B$3)</f>
        <v>23.2619569803205</v>
      </c>
    </row>
    <row r="12" customFormat="false" ht="15" hidden="false" customHeight="false" outlineLevel="0" collapsed="false">
      <c r="A12" s="19" t="str">
        <f aca="false">Parametros!A68</f>
        <v>Despensa — alimento balanceado</v>
      </c>
      <c r="B12" s="13" t="n">
        <v>30</v>
      </c>
      <c r="C12" s="25" t="n">
        <f aca="false">$B12</f>
        <v>30</v>
      </c>
      <c r="D12" s="25" t="n">
        <f aca="false">C12*(1+$B$3)</f>
        <v>34.5</v>
      </c>
      <c r="E12" s="25" t="n">
        <f aca="false">D12*(1+$B$3)</f>
        <v>39.675</v>
      </c>
      <c r="F12" s="25" t="n">
        <f aca="false">E12*(1+$B$3)</f>
        <v>45.62625</v>
      </c>
      <c r="G12" s="25" t="n">
        <f aca="false">F12*(1+$B$3)</f>
        <v>52.4701875</v>
      </c>
      <c r="H12" s="25" t="n">
        <f aca="false">G12*(1+$B$3)</f>
        <v>60.340715625</v>
      </c>
      <c r="I12" s="25" t="n">
        <f aca="false">H12*(1+$B$3)</f>
        <v>69.39182296875</v>
      </c>
      <c r="J12" s="25" t="n">
        <f aca="false">I12*(1+$B$3)</f>
        <v>79.8005964140625</v>
      </c>
      <c r="K12" s="25" t="n">
        <f aca="false">J12*(1+$B$3)</f>
        <v>91.7706858761718</v>
      </c>
      <c r="L12" s="25" t="n">
        <f aca="false">K12*(1+$B$3)</f>
        <v>105.536288757598</v>
      </c>
      <c r="M12" s="25" t="n">
        <f aca="false">L12*(1+$B$3)</f>
        <v>121.366732071237</v>
      </c>
      <c r="N12" s="25" t="n">
        <f aca="false">M12*(1+$B$3)</f>
        <v>139.571741881923</v>
      </c>
    </row>
    <row r="13" customFormat="false" ht="15" hidden="false" customHeight="false" outlineLevel="0" collapsed="false">
      <c r="A13" s="19" t="str">
        <f aca="false">Parametros!A69</f>
        <v>Despensa — snack / accesorio</v>
      </c>
      <c r="B13" s="13" t="n">
        <v>40</v>
      </c>
      <c r="C13" s="25" t="n">
        <f aca="false">$B13</f>
        <v>40</v>
      </c>
      <c r="D13" s="25" t="n">
        <f aca="false">C13*(1+$B$3)</f>
        <v>46</v>
      </c>
      <c r="E13" s="25" t="n">
        <f aca="false">D13*(1+$B$3)</f>
        <v>52.9</v>
      </c>
      <c r="F13" s="25" t="n">
        <f aca="false">E13*(1+$B$3)</f>
        <v>60.835</v>
      </c>
      <c r="G13" s="25" t="n">
        <f aca="false">F13*(1+$B$3)</f>
        <v>69.96025</v>
      </c>
      <c r="H13" s="25" t="n">
        <f aca="false">G13*(1+$B$3)</f>
        <v>80.4542875</v>
      </c>
      <c r="I13" s="25" t="n">
        <f aca="false">H13*(1+$B$3)</f>
        <v>92.522430625</v>
      </c>
      <c r="J13" s="25" t="n">
        <f aca="false">I13*(1+$B$3)</f>
        <v>106.40079521875</v>
      </c>
      <c r="K13" s="25" t="n">
        <f aca="false">J13*(1+$B$3)</f>
        <v>122.360914501562</v>
      </c>
      <c r="L13" s="25" t="n">
        <f aca="false">K13*(1+$B$3)</f>
        <v>140.715051676797</v>
      </c>
      <c r="M13" s="25" t="n">
        <f aca="false">L13*(1+$B$3)</f>
        <v>161.822309428316</v>
      </c>
      <c r="N13" s="25" t="n">
        <f aca="false">M13*(1+$B$3)</f>
        <v>186.095655842564</v>
      </c>
    </row>
    <row r="14" customFormat="false" ht="15" hidden="false" customHeight="false" outlineLevel="0" collapsed="false">
      <c r="A14" s="19" t="str">
        <f aca="false">Parametros!A70</f>
        <v>Paquete 10 paseos (prepago)</v>
      </c>
      <c r="B14" s="13" t="n">
        <v>3</v>
      </c>
      <c r="C14" s="25" t="n">
        <f aca="false">$B14</f>
        <v>3</v>
      </c>
      <c r="D14" s="25" t="n">
        <f aca="false">C14*(1+$B$3)</f>
        <v>3.45</v>
      </c>
      <c r="E14" s="25" t="n">
        <f aca="false">D14*(1+$B$3)</f>
        <v>3.9675</v>
      </c>
      <c r="F14" s="25" t="n">
        <f aca="false">E14*(1+$B$3)</f>
        <v>4.562625</v>
      </c>
      <c r="G14" s="25" t="n">
        <f aca="false">F14*(1+$B$3)</f>
        <v>5.24701875</v>
      </c>
      <c r="H14" s="25" t="n">
        <f aca="false">G14*(1+$B$3)</f>
        <v>6.0340715625</v>
      </c>
      <c r="I14" s="25" t="n">
        <f aca="false">H14*(1+$B$3)</f>
        <v>6.939182296875</v>
      </c>
      <c r="J14" s="25" t="n">
        <f aca="false">I14*(1+$B$3)</f>
        <v>7.98005964140624</v>
      </c>
      <c r="K14" s="25" t="n">
        <f aca="false">J14*(1+$B$3)</f>
        <v>9.17706858761718</v>
      </c>
      <c r="L14" s="25" t="n">
        <f aca="false">K14*(1+$B$3)</f>
        <v>10.5536288757598</v>
      </c>
      <c r="M14" s="25" t="n">
        <f aca="false">L14*(1+$B$3)</f>
        <v>12.1366732071237</v>
      </c>
      <c r="N14" s="25" t="n">
        <f aca="false">M14*(1+$B$3)</f>
        <v>13.9571741881923</v>
      </c>
    </row>
    <row r="15" customFormat="false" ht="15" hidden="false" customHeight="false" outlineLevel="0" collapsed="false">
      <c r="A15" s="26" t="s">
        <v>181</v>
      </c>
      <c r="C15" s="27" t="n">
        <f aca="false">SUM(C6:C14)</f>
        <v>198</v>
      </c>
      <c r="D15" s="27" t="n">
        <f aca="false">SUM(D6:D14)</f>
        <v>227.7</v>
      </c>
      <c r="E15" s="27" t="n">
        <f aca="false">SUM(E6:E14)</f>
        <v>261.855</v>
      </c>
      <c r="F15" s="27" t="n">
        <f aca="false">SUM(F6:F14)</f>
        <v>301.13325</v>
      </c>
      <c r="G15" s="27" t="n">
        <f aca="false">SUM(G6:G14)</f>
        <v>346.3032375</v>
      </c>
      <c r="H15" s="27" t="n">
        <f aca="false">SUM(H6:H14)</f>
        <v>398.248723125</v>
      </c>
      <c r="I15" s="27" t="n">
        <f aca="false">SUM(I6:I14)</f>
        <v>457.98603159375</v>
      </c>
      <c r="J15" s="27" t="n">
        <f aca="false">SUM(J6:J14)</f>
        <v>526.683936332812</v>
      </c>
      <c r="K15" s="27" t="n">
        <f aca="false">SUM(K6:K14)</f>
        <v>605.686526782734</v>
      </c>
      <c r="L15" s="27" t="n">
        <f aca="false">SUM(L6:L14)</f>
        <v>696.539505800144</v>
      </c>
      <c r="M15" s="27" t="n">
        <f aca="false">SUM(M6:M14)</f>
        <v>801.020431670166</v>
      </c>
      <c r="N15" s="27" t="n">
        <f aca="false">SUM(N6:N14)</f>
        <v>921.173496420691</v>
      </c>
    </row>
    <row r="17" customFormat="false" ht="15" hidden="false" customHeight="false" outlineLevel="0" collapsed="false">
      <c r="A17" s="28" t="s">
        <v>182</v>
      </c>
    </row>
    <row r="18" customFormat="false" ht="15" hidden="false" customHeight="false" outlineLevel="0" collapsed="false">
      <c r="A18" s="2" t="s">
        <v>183</v>
      </c>
      <c r="C18" s="17" t="n">
        <f aca="false">SUMPRODUCT(C$6:C$14,UE_Hoy!$J$5:$J$13)</f>
        <v>4916.75</v>
      </c>
      <c r="D18" s="17" t="n">
        <f aca="false">SUMPRODUCT(D$6:D$14,UE_Hoy!$J$5:$J$13)</f>
        <v>5654.2625</v>
      </c>
      <c r="E18" s="17" t="n">
        <f aca="false">SUMPRODUCT(E$6:E$14,UE_Hoy!$J$5:$J$13)</f>
        <v>6502.401875</v>
      </c>
      <c r="F18" s="17" t="n">
        <f aca="false">SUMPRODUCT(F$6:F$14,UE_Hoy!$J$5:$J$13)</f>
        <v>7477.76215625</v>
      </c>
      <c r="G18" s="17" t="n">
        <f aca="false">SUMPRODUCT(G$6:G$14,UE_Hoy!$J$5:$J$13)</f>
        <v>8599.4264796875</v>
      </c>
      <c r="H18" s="17" t="n">
        <f aca="false">SUMPRODUCT(H$6:H$14,UE_Hoy!$J$5:$J$13)</f>
        <v>9889.34045164062</v>
      </c>
      <c r="I18" s="17" t="n">
        <f aca="false">SUMPRODUCT(I$6:I$14,UE_Hoy!$J$5:$J$13)</f>
        <v>11372.7415193867</v>
      </c>
      <c r="J18" s="17" t="n">
        <f aca="false">SUMPRODUCT(J$6:J$14,UE_Hoy!$J$5:$J$13)</f>
        <v>13078.6527472947</v>
      </c>
      <c r="K18" s="17" t="n">
        <f aca="false">SUMPRODUCT(K$6:K$14,UE_Hoy!$J$5:$J$13)</f>
        <v>15040.4506593889</v>
      </c>
      <c r="L18" s="17" t="n">
        <f aca="false">SUMPRODUCT(L$6:L$14,UE_Hoy!$J$5:$J$13)</f>
        <v>17296.5182582973</v>
      </c>
      <c r="M18" s="17" t="n">
        <f aca="false">SUMPRODUCT(M$6:M$14,UE_Hoy!$J$5:$J$13)</f>
        <v>19890.9959970419</v>
      </c>
      <c r="N18" s="17" t="n">
        <f aca="false">SUMPRODUCT(N$6:N$14,UE_Hoy!$J$5:$J$13)</f>
        <v>22874.6453965981</v>
      </c>
    </row>
    <row r="19" customFormat="false" ht="15" hidden="false" customHeight="false" outlineLevel="0" collapsed="false">
      <c r="A19" s="2" t="s">
        <v>184</v>
      </c>
      <c r="C19" s="17" t="n">
        <f aca="false">SUMPRODUCT(C$6:C$14,UE_Hoy!$M$5:$M$13)</f>
        <v>459.5</v>
      </c>
      <c r="D19" s="17" t="n">
        <f aca="false">SUMPRODUCT(D$6:D$14,UE_Hoy!$M$5:$M$13)</f>
        <v>528.425</v>
      </c>
      <c r="E19" s="17" t="n">
        <f aca="false">SUMPRODUCT(E$6:E$14,UE_Hoy!$M$5:$M$13)</f>
        <v>607.68875</v>
      </c>
      <c r="F19" s="17" t="n">
        <f aca="false">SUMPRODUCT(F$6:F$14,UE_Hoy!$M$5:$M$13)</f>
        <v>698.8420625</v>
      </c>
      <c r="G19" s="17" t="n">
        <f aca="false">SUMPRODUCT(G$6:G$14,UE_Hoy!$M$5:$M$13)</f>
        <v>803.668371875</v>
      </c>
      <c r="H19" s="17" t="n">
        <f aca="false">SUMPRODUCT(H$6:H$14,UE_Hoy!$M$5:$M$13)</f>
        <v>924.21862765625</v>
      </c>
      <c r="I19" s="17" t="n">
        <f aca="false">SUMPRODUCT(I$6:I$14,UE_Hoy!$M$5:$M$13)</f>
        <v>1062.85142180469</v>
      </c>
      <c r="J19" s="17" t="n">
        <f aca="false">SUMPRODUCT(J$6:J$14,UE_Hoy!$M$5:$M$13)</f>
        <v>1222.27913507539</v>
      </c>
      <c r="K19" s="17" t="n">
        <f aca="false">SUMPRODUCT(K$6:K$14,UE_Hoy!$M$5:$M$13)</f>
        <v>1405.6210053367</v>
      </c>
      <c r="L19" s="17" t="n">
        <f aca="false">SUMPRODUCT(L$6:L$14,UE_Hoy!$M$5:$M$13)</f>
        <v>1616.4641561372</v>
      </c>
      <c r="M19" s="17" t="n">
        <f aca="false">SUMPRODUCT(M$6:M$14,UE_Hoy!$M$5:$M$13)</f>
        <v>1858.93377955778</v>
      </c>
      <c r="N19" s="17" t="n">
        <f aca="false">SUMPRODUCT(N$6:N$14,UE_Hoy!$M$5:$M$13)</f>
        <v>2137.77384649145</v>
      </c>
    </row>
    <row r="20" customFormat="false" ht="15" hidden="false" customHeight="false" outlineLevel="0" collapsed="false">
      <c r="A20" s="2" t="s">
        <v>185</v>
      </c>
      <c r="C20" s="17" t="n">
        <f aca="false">SUMPRODUCT(C$6:C$14,UE_Hoy!$P$5:$P$13)</f>
        <v>198.256675</v>
      </c>
      <c r="D20" s="17" t="n">
        <f aca="false">SUMPRODUCT(D$6:D$14,UE_Hoy!$P$5:$P$13)</f>
        <v>227.99517625</v>
      </c>
      <c r="E20" s="17" t="n">
        <f aca="false">SUMPRODUCT(E$6:E$14,UE_Hoy!$P$5:$P$13)</f>
        <v>262.1944526875</v>
      </c>
      <c r="F20" s="17" t="n">
        <f aca="false">SUMPRODUCT(F$6:F$14,UE_Hoy!$P$5:$P$13)</f>
        <v>301.523620590625</v>
      </c>
      <c r="G20" s="17" t="n">
        <f aca="false">SUMPRODUCT(G$6:G$14,UE_Hoy!$P$5:$P$13)</f>
        <v>346.752163679219</v>
      </c>
      <c r="H20" s="17" t="n">
        <f aca="false">SUMPRODUCT(H$6:H$14,UE_Hoy!$P$5:$P$13)</f>
        <v>398.764988231101</v>
      </c>
      <c r="I20" s="17" t="n">
        <f aca="false">SUMPRODUCT(I$6:I$14,UE_Hoy!$P$5:$P$13)</f>
        <v>458.579736465767</v>
      </c>
      <c r="J20" s="17" t="n">
        <f aca="false">SUMPRODUCT(J$6:J$14,UE_Hoy!$P$5:$P$13)</f>
        <v>527.366696935632</v>
      </c>
      <c r="K20" s="17" t="n">
        <f aca="false">SUMPRODUCT(K$6:K$14,UE_Hoy!$P$5:$P$13)</f>
        <v>606.471701475976</v>
      </c>
      <c r="L20" s="17" t="n">
        <f aca="false">SUMPRODUCT(L$6:L$14,UE_Hoy!$P$5:$P$13)</f>
        <v>697.442456697373</v>
      </c>
      <c r="M20" s="17" t="n">
        <f aca="false">SUMPRODUCT(M$6:M$14,UE_Hoy!$P$5:$P$13)</f>
        <v>802.058825201979</v>
      </c>
      <c r="N20" s="17" t="n">
        <f aca="false">SUMPRODUCT(N$6:N$14,UE_Hoy!$P$5:$P$13)</f>
        <v>922.367648982275</v>
      </c>
    </row>
    <row r="21" customFormat="false" ht="15" hidden="false" customHeight="false" outlineLevel="0" collapsed="false">
      <c r="A21" s="2" t="s">
        <v>151</v>
      </c>
      <c r="C21" s="17" t="n">
        <f aca="false">SUMPRODUCT(C$6:C$14,UE_Hoy!$Q$5:$Q$13)</f>
        <v>48.34375</v>
      </c>
      <c r="D21" s="17" t="n">
        <f aca="false">SUMPRODUCT(D$6:D$14,UE_Hoy!$Q$5:$Q$13)</f>
        <v>55.5953125</v>
      </c>
      <c r="E21" s="17" t="n">
        <f aca="false">SUMPRODUCT(E$6:E$14,UE_Hoy!$Q$5:$Q$13)</f>
        <v>63.934609375</v>
      </c>
      <c r="F21" s="17" t="n">
        <f aca="false">SUMPRODUCT(F$6:F$14,UE_Hoy!$Q$5:$Q$13)</f>
        <v>73.52480078125</v>
      </c>
      <c r="G21" s="17" t="n">
        <f aca="false">SUMPRODUCT(G$6:G$14,UE_Hoy!$Q$5:$Q$13)</f>
        <v>84.5535208984375</v>
      </c>
      <c r="H21" s="17" t="n">
        <f aca="false">SUMPRODUCT(H$6:H$14,UE_Hoy!$Q$5:$Q$13)</f>
        <v>97.2365490332031</v>
      </c>
      <c r="I21" s="17" t="n">
        <f aca="false">SUMPRODUCT(I$6:I$14,UE_Hoy!$Q$5:$Q$13)</f>
        <v>111.822031388184</v>
      </c>
      <c r="J21" s="17" t="n">
        <f aca="false">SUMPRODUCT(J$6:J$14,UE_Hoy!$Q$5:$Q$13)</f>
        <v>128.595336096411</v>
      </c>
      <c r="K21" s="17" t="n">
        <f aca="false">SUMPRODUCT(K$6:K$14,UE_Hoy!$Q$5:$Q$13)</f>
        <v>147.884636510873</v>
      </c>
      <c r="L21" s="17" t="n">
        <f aca="false">SUMPRODUCT(L$6:L$14,UE_Hoy!$Q$5:$Q$13)</f>
        <v>170.067331987504</v>
      </c>
      <c r="M21" s="17" t="n">
        <f aca="false">SUMPRODUCT(M$6:M$14,UE_Hoy!$Q$5:$Q$13)</f>
        <v>195.577431785629</v>
      </c>
      <c r="N21" s="17" t="n">
        <f aca="false">SUMPRODUCT(N$6:N$14,UE_Hoy!$Q$5:$Q$13)</f>
        <v>224.914046553474</v>
      </c>
    </row>
    <row r="22" customFormat="false" ht="15" hidden="false" customHeight="false" outlineLevel="0" collapsed="false">
      <c r="A22" s="29" t="s">
        <v>186</v>
      </c>
      <c r="C22" s="18" t="n">
        <f aca="false">C19-C20-C21+C$46</f>
        <v>212.899575</v>
      </c>
      <c r="D22" s="18" t="n">
        <f aca="false">D19-D20-D21+D$46</f>
        <v>244.83451125</v>
      </c>
      <c r="E22" s="18" t="n">
        <f aca="false">E19-E20-E21+E$46</f>
        <v>281.5596879375</v>
      </c>
      <c r="F22" s="18" t="n">
        <f aca="false">F19-F20-F21+F$46</f>
        <v>323.793641128125</v>
      </c>
      <c r="G22" s="18" t="n">
        <f aca="false">G19-G20-G21+G$46</f>
        <v>372.362687297344</v>
      </c>
      <c r="H22" s="18" t="n">
        <f aca="false">H19-H20-H21+H$46</f>
        <v>428.217090391945</v>
      </c>
      <c r="I22" s="18" t="n">
        <f aca="false">I19-I20-I21+I$46</f>
        <v>492.449653950737</v>
      </c>
      <c r="J22" s="18" t="n">
        <f aca="false">J19-J20-J21+J$46</f>
        <v>566.317102043347</v>
      </c>
      <c r="K22" s="18" t="n">
        <f aca="false">K19-K20-K21+K$46</f>
        <v>651.26466734985</v>
      </c>
      <c r="L22" s="18" t="n">
        <f aca="false">L19-L20-L21+L$46</f>
        <v>748.954367452327</v>
      </c>
      <c r="M22" s="18" t="n">
        <f aca="false">M19-M20-M21+M$46</f>
        <v>861.297522570176</v>
      </c>
      <c r="N22" s="18" t="n">
        <f aca="false">N19-N20-N21+N$46</f>
        <v>990.492150955702</v>
      </c>
    </row>
    <row r="23" customFormat="false" ht="15" hidden="false" customHeight="false" outlineLevel="0" collapsed="false">
      <c r="A23" s="2" t="s">
        <v>187</v>
      </c>
      <c r="C23" s="30" t="n">
        <f aca="false">IF(C$4=1,Parametros!$B$55+Parametros!$B$56,Parametros!$C$55+Parametros!$C$56)</f>
        <v>1936</v>
      </c>
      <c r="D23" s="30" t="n">
        <f aca="false">IF(D$4=1,Parametros!$B$55+Parametros!$B$56,Parametros!$C$55+Parametros!$C$56)</f>
        <v>1936</v>
      </c>
      <c r="E23" s="30" t="n">
        <f aca="false">IF(E$4=1,Parametros!$B$55+Parametros!$B$56,Parametros!$C$55+Parametros!$C$56)</f>
        <v>1936</v>
      </c>
      <c r="F23" s="30" t="n">
        <f aca="false">IF(F$4=1,Parametros!$B$55+Parametros!$B$56,Parametros!$C$55+Parametros!$C$56)</f>
        <v>6402</v>
      </c>
      <c r="G23" s="30" t="n">
        <f aca="false">IF(G$4=1,Parametros!$B$55+Parametros!$B$56,Parametros!$C$55+Parametros!$C$56)</f>
        <v>6402</v>
      </c>
      <c r="H23" s="30" t="n">
        <f aca="false">IF(H$4=1,Parametros!$B$55+Parametros!$B$56,Parametros!$C$55+Parametros!$C$56)</f>
        <v>6402</v>
      </c>
      <c r="I23" s="30" t="n">
        <f aca="false">IF(I$4=1,Parametros!$B$55+Parametros!$B$56,Parametros!$C$55+Parametros!$C$56)</f>
        <v>6402</v>
      </c>
      <c r="J23" s="30" t="n">
        <f aca="false">IF(J$4=1,Parametros!$B$55+Parametros!$B$56,Parametros!$C$55+Parametros!$C$56)</f>
        <v>6402</v>
      </c>
      <c r="K23" s="30" t="n">
        <f aca="false">IF(K$4=1,Parametros!$B$55+Parametros!$B$56,Parametros!$C$55+Parametros!$C$56)</f>
        <v>6402</v>
      </c>
      <c r="L23" s="30" t="n">
        <f aca="false">IF(L$4=1,Parametros!$B$55+Parametros!$B$56,Parametros!$C$55+Parametros!$C$56)</f>
        <v>6402</v>
      </c>
      <c r="M23" s="30" t="n">
        <f aca="false">IF(M$4=1,Parametros!$B$55+Parametros!$B$56,Parametros!$C$55+Parametros!$C$56)</f>
        <v>6402</v>
      </c>
      <c r="N23" s="30" t="n">
        <f aca="false">IF(N$4=1,Parametros!$B$55+Parametros!$B$56,Parametros!$C$55+Parametros!$C$56)</f>
        <v>6402</v>
      </c>
    </row>
    <row r="24" customFormat="false" ht="15" hidden="false" customHeight="false" outlineLevel="0" collapsed="false">
      <c r="A24" s="29" t="s">
        <v>188</v>
      </c>
      <c r="C24" s="18" t="n">
        <f aca="false">C22-C23</f>
        <v>-1723.100425</v>
      </c>
      <c r="D24" s="18" t="n">
        <f aca="false">D22-D23</f>
        <v>-1691.16548875</v>
      </c>
      <c r="E24" s="18" t="n">
        <f aca="false">E22-E23</f>
        <v>-1654.4403120625</v>
      </c>
      <c r="F24" s="18" t="n">
        <f aca="false">F22-F23</f>
        <v>-6078.20635887188</v>
      </c>
      <c r="G24" s="18" t="n">
        <f aca="false">G22-G23</f>
        <v>-6029.63731270266</v>
      </c>
      <c r="H24" s="18" t="n">
        <f aca="false">H22-H23</f>
        <v>-5973.78290960806</v>
      </c>
      <c r="I24" s="18" t="n">
        <f aca="false">I22-I23</f>
        <v>-5909.55034604926</v>
      </c>
      <c r="J24" s="18" t="n">
        <f aca="false">J22-J23</f>
        <v>-5835.68289795665</v>
      </c>
      <c r="K24" s="18" t="n">
        <f aca="false">K22-K23</f>
        <v>-5750.73533265015</v>
      </c>
      <c r="L24" s="18" t="n">
        <f aca="false">L22-L23</f>
        <v>-5653.04563254767</v>
      </c>
      <c r="M24" s="18" t="n">
        <f aca="false">M22-M23</f>
        <v>-5540.70247742982</v>
      </c>
      <c r="N24" s="18" t="n">
        <f aca="false">N22-N23</f>
        <v>-5411.5078490443</v>
      </c>
    </row>
    <row r="25" customFormat="false" ht="15" hidden="false" customHeight="false" outlineLevel="0" collapsed="false">
      <c r="A25" s="2" t="s">
        <v>189</v>
      </c>
      <c r="C25" s="17" t="n">
        <f aca="false">C24</f>
        <v>-1723.100425</v>
      </c>
      <c r="D25" s="17" t="n">
        <f aca="false">C25+D24</f>
        <v>-3414.26591375</v>
      </c>
      <c r="E25" s="17" t="n">
        <f aca="false">D25+E24</f>
        <v>-5068.7062258125</v>
      </c>
      <c r="F25" s="17" t="n">
        <f aca="false">E25+F24</f>
        <v>-11146.9125846844</v>
      </c>
      <c r="G25" s="17" t="n">
        <f aca="false">F25+G24</f>
        <v>-17176.549897387</v>
      </c>
      <c r="H25" s="17" t="n">
        <f aca="false">G25+H24</f>
        <v>-23150.3328069951</v>
      </c>
      <c r="I25" s="17" t="n">
        <f aca="false">H25+I24</f>
        <v>-29059.8831530444</v>
      </c>
      <c r="J25" s="17" t="n">
        <f aca="false">I25+J24</f>
        <v>-34895.566051001</v>
      </c>
      <c r="K25" s="17" t="n">
        <f aca="false">J25+K24</f>
        <v>-40646.3013836512</v>
      </c>
      <c r="L25" s="17" t="n">
        <f aca="false">K25+L24</f>
        <v>-46299.3470161988</v>
      </c>
      <c r="M25" s="17" t="n">
        <f aca="false">L25+M24</f>
        <v>-51840.0494936287</v>
      </c>
      <c r="N25" s="17" t="n">
        <f aca="false">M25+N24</f>
        <v>-57251.5573426729</v>
      </c>
    </row>
    <row r="26" customFormat="false" ht="15" hidden="false" customHeight="false" outlineLevel="0" collapsed="false">
      <c r="A26" s="2" t="s">
        <v>190</v>
      </c>
      <c r="C26" s="12" t="n">
        <f aca="false">IF(C18=0,0,C19/C18)</f>
        <v>0.0934560431179133</v>
      </c>
      <c r="D26" s="12" t="n">
        <f aca="false">IF(D18=0,0,D19/D18)</f>
        <v>0.0934560431179133</v>
      </c>
      <c r="E26" s="12" t="n">
        <f aca="false">IF(E18=0,0,E19/E18)</f>
        <v>0.0934560431179133</v>
      </c>
      <c r="F26" s="12" t="n">
        <f aca="false">IF(F18=0,0,F19/F18)</f>
        <v>0.0934560431179133</v>
      </c>
      <c r="G26" s="12" t="n">
        <f aca="false">IF(G18=0,0,G19/G18)</f>
        <v>0.0934560431179133</v>
      </c>
      <c r="H26" s="12" t="n">
        <f aca="false">IF(H18=0,0,H19/H18)</f>
        <v>0.0934560431179133</v>
      </c>
      <c r="I26" s="12" t="n">
        <f aca="false">IF(I18=0,0,I19/I18)</f>
        <v>0.0934560431179133</v>
      </c>
      <c r="J26" s="12" t="n">
        <f aca="false">IF(J18=0,0,J19/J18)</f>
        <v>0.0934560431179133</v>
      </c>
      <c r="K26" s="12" t="n">
        <f aca="false">IF(K18=0,0,K19/K18)</f>
        <v>0.0934560431179133</v>
      </c>
      <c r="L26" s="12" t="n">
        <f aca="false">IF(L18=0,0,L19/L18)</f>
        <v>0.0934560431179133</v>
      </c>
      <c r="M26" s="12" t="n">
        <f aca="false">IF(M18=0,0,M19/M18)</f>
        <v>0.0934560431179133</v>
      </c>
      <c r="N26" s="12" t="n">
        <f aca="false">IF(N18=0,0,N19/N18)</f>
        <v>0.0934560431179133</v>
      </c>
    </row>
    <row r="27" customFormat="false" ht="15" hidden="false" customHeight="false" outlineLevel="0" collapsed="false">
      <c r="A27" s="2" t="s">
        <v>191</v>
      </c>
      <c r="C27" s="12" t="n">
        <f aca="false">IF(C18=0,0,C22/C18)</f>
        <v>0.0433008745614481</v>
      </c>
      <c r="D27" s="12" t="n">
        <f aca="false">IF(D18=0,0,D22/D18)</f>
        <v>0.0433008745614481</v>
      </c>
      <c r="E27" s="12" t="n">
        <f aca="false">IF(E18=0,0,E22/E18)</f>
        <v>0.0433008745614481</v>
      </c>
      <c r="F27" s="12" t="n">
        <f aca="false">IF(F18=0,0,F22/F18)</f>
        <v>0.0433008745614481</v>
      </c>
      <c r="G27" s="12" t="n">
        <f aca="false">IF(G18=0,0,G22/G18)</f>
        <v>0.0433008745614481</v>
      </c>
      <c r="H27" s="12" t="n">
        <f aca="false">IF(H18=0,0,H22/H18)</f>
        <v>0.0433008745614481</v>
      </c>
      <c r="I27" s="12" t="n">
        <f aca="false">IF(I18=0,0,I22/I18)</f>
        <v>0.0433008745614481</v>
      </c>
      <c r="J27" s="12" t="n">
        <f aca="false">IF(J18=0,0,J22/J18)</f>
        <v>0.0433008745614481</v>
      </c>
      <c r="K27" s="12" t="n">
        <f aca="false">IF(K18=0,0,K22/K18)</f>
        <v>0.0433008745614481</v>
      </c>
      <c r="L27" s="12" t="n">
        <f aca="false">IF(L18=0,0,L22/L18)</f>
        <v>0.0433008745614481</v>
      </c>
      <c r="M27" s="12" t="n">
        <f aca="false">IF(M18=0,0,M22/M18)</f>
        <v>0.0433008745614481</v>
      </c>
      <c r="N27" s="12" t="n">
        <f aca="false">IF(N18=0,0,N22/N18)</f>
        <v>0.0433008745614481</v>
      </c>
    </row>
    <row r="28" customFormat="false" ht="15" hidden="false" customHeight="false" outlineLevel="0" collapsed="false">
      <c r="A28" s="2" t="s">
        <v>192</v>
      </c>
      <c r="C28" s="25" t="n">
        <f aca="false">IF(C22&lt;=0,0,C23/(C22/C$15))</f>
        <v>1800.51087466943</v>
      </c>
      <c r="D28" s="25" t="n">
        <f aca="false">IF(D22&lt;=0,0,D23/(D22/D$15))</f>
        <v>1800.51087466943</v>
      </c>
      <c r="E28" s="25" t="n">
        <f aca="false">IF(E22&lt;=0,0,E23/(E22/E$15))</f>
        <v>1800.51087466943</v>
      </c>
      <c r="F28" s="25" t="n">
        <f aca="false">IF(F22&lt;=0,0,F23/(F22/F$15))</f>
        <v>5953.96209691823</v>
      </c>
      <c r="G28" s="25" t="n">
        <f aca="false">IF(G22&lt;=0,0,G23/(G22/G$15))</f>
        <v>5953.96209691823</v>
      </c>
      <c r="H28" s="25" t="n">
        <f aca="false">IF(H22&lt;=0,0,H23/(H22/H$15))</f>
        <v>5953.96209691823</v>
      </c>
      <c r="I28" s="25" t="n">
        <f aca="false">IF(I22&lt;=0,0,I23/(I22/I$15))</f>
        <v>5953.96209691823</v>
      </c>
      <c r="J28" s="25" t="n">
        <f aca="false">IF(J22&lt;=0,0,J23/(J22/J$15))</f>
        <v>5953.96209691823</v>
      </c>
      <c r="K28" s="25" t="n">
        <f aca="false">IF(K22&lt;=0,0,K23/(K22/K$15))</f>
        <v>5953.96209691823</v>
      </c>
      <c r="L28" s="25" t="n">
        <f aca="false">IF(L22&lt;=0,0,L23/(L22/L$15))</f>
        <v>5953.96209691823</v>
      </c>
      <c r="M28" s="25" t="n">
        <f aca="false">IF(M22&lt;=0,0,M23/(M22/M$15))</f>
        <v>5953.96209691823</v>
      </c>
      <c r="N28" s="25" t="n">
        <f aca="false">IF(N22&lt;=0,0,N23/(N22/N$15))</f>
        <v>5953.96209691823</v>
      </c>
    </row>
    <row r="31" customFormat="false" ht="15" hidden="false" customHeight="false" outlineLevel="0" collapsed="false">
      <c r="A31" s="28" t="s">
        <v>193</v>
      </c>
    </row>
    <row r="32" customFormat="false" ht="15" hidden="false" customHeight="false" outlineLevel="0" collapsed="false">
      <c r="A32" s="2" t="s">
        <v>183</v>
      </c>
      <c r="C32" s="17" t="n">
        <f aca="false">SUMPRODUCT(C$6:C$14,UE_Propuesta!$J$5:$J$13)</f>
        <v>5112.77</v>
      </c>
      <c r="D32" s="17" t="n">
        <f aca="false">SUMPRODUCT(D$6:D$14,UE_Propuesta!$J$5:$J$13)</f>
        <v>5879.6855</v>
      </c>
      <c r="E32" s="17" t="n">
        <f aca="false">SUMPRODUCT(E$6:E$14,UE_Propuesta!$J$5:$J$13)</f>
        <v>6761.638325</v>
      </c>
      <c r="F32" s="17" t="n">
        <f aca="false">SUMPRODUCT(F$6:F$14,UE_Propuesta!$J$5:$J$13)</f>
        <v>7775.88407375</v>
      </c>
      <c r="G32" s="17" t="n">
        <f aca="false">SUMPRODUCT(G$6:G$14,UE_Propuesta!$J$5:$J$13)</f>
        <v>8942.2666848125</v>
      </c>
      <c r="H32" s="17" t="n">
        <f aca="false">SUMPRODUCT(H$6:H$14,UE_Propuesta!$J$5:$J$13)</f>
        <v>10283.6066875344</v>
      </c>
      <c r="I32" s="17" t="n">
        <f aca="false">SUMPRODUCT(I$6:I$14,UE_Propuesta!$J$5:$J$13)</f>
        <v>11826.1476906645</v>
      </c>
      <c r="J32" s="17" t="n">
        <f aca="false">SUMPRODUCT(J$6:J$14,UE_Propuesta!$J$5:$J$13)</f>
        <v>13600.0698442642</v>
      </c>
      <c r="K32" s="17" t="n">
        <f aca="false">SUMPRODUCT(K$6:K$14,UE_Propuesta!$J$5:$J$13)</f>
        <v>15640.0803209038</v>
      </c>
      <c r="L32" s="17" t="n">
        <f aca="false">SUMPRODUCT(L$6:L$14,UE_Propuesta!$J$5:$J$13)</f>
        <v>17986.0923690394</v>
      </c>
      <c r="M32" s="17" t="n">
        <f aca="false">SUMPRODUCT(M$6:M$14,UE_Propuesta!$J$5:$J$13)</f>
        <v>20684.0062243953</v>
      </c>
      <c r="N32" s="17" t="n">
        <f aca="false">SUMPRODUCT(N$6:N$14,UE_Propuesta!$J$5:$J$13)</f>
        <v>23786.6071580546</v>
      </c>
    </row>
    <row r="33" customFormat="false" ht="15" hidden="false" customHeight="false" outlineLevel="0" collapsed="false">
      <c r="A33" s="2" t="s">
        <v>184</v>
      </c>
      <c r="C33" s="17" t="n">
        <f aca="false">SUMPRODUCT(C$6:C$14,UE_Propuesta!$M$5:$M$13)</f>
        <v>876.652173913044</v>
      </c>
      <c r="D33" s="17" t="n">
        <f aca="false">SUMPRODUCT(D$6:D$14,UE_Propuesta!$M$5:$M$13)</f>
        <v>1008.15</v>
      </c>
      <c r="E33" s="17" t="n">
        <f aca="false">SUMPRODUCT(E$6:E$14,UE_Propuesta!$M$5:$M$13)</f>
        <v>1159.3725</v>
      </c>
      <c r="F33" s="17" t="n">
        <f aca="false">SUMPRODUCT(F$6:F$14,UE_Propuesta!$M$5:$M$13)</f>
        <v>1333.278375</v>
      </c>
      <c r="G33" s="17" t="n">
        <f aca="false">SUMPRODUCT(G$6:G$14,UE_Propuesta!$M$5:$M$13)</f>
        <v>1533.27013125</v>
      </c>
      <c r="H33" s="17" t="n">
        <f aca="false">SUMPRODUCT(H$6:H$14,UE_Propuesta!$M$5:$M$13)</f>
        <v>1763.2606509375</v>
      </c>
      <c r="I33" s="17" t="n">
        <f aca="false">SUMPRODUCT(I$6:I$14,UE_Propuesta!$M$5:$M$13)</f>
        <v>2027.74974857812</v>
      </c>
      <c r="J33" s="17" t="n">
        <f aca="false">SUMPRODUCT(J$6:J$14,UE_Propuesta!$M$5:$M$13)</f>
        <v>2331.91221086484</v>
      </c>
      <c r="K33" s="17" t="n">
        <f aca="false">SUMPRODUCT(K$6:K$14,UE_Propuesta!$M$5:$M$13)</f>
        <v>2681.69904249457</v>
      </c>
      <c r="L33" s="17" t="n">
        <f aca="false">SUMPRODUCT(L$6:L$14,UE_Propuesta!$M$5:$M$13)</f>
        <v>3083.95389886875</v>
      </c>
      <c r="M33" s="17" t="n">
        <f aca="false">SUMPRODUCT(M$6:M$14,UE_Propuesta!$M$5:$M$13)</f>
        <v>3546.54698369907</v>
      </c>
      <c r="N33" s="17" t="n">
        <f aca="false">SUMPRODUCT(N$6:N$14,UE_Propuesta!$M$5:$M$13)</f>
        <v>4078.52903125393</v>
      </c>
    </row>
    <row r="34" customFormat="false" ht="15" hidden="false" customHeight="false" outlineLevel="0" collapsed="false">
      <c r="A34" s="2" t="s">
        <v>185</v>
      </c>
      <c r="C34" s="17" t="n">
        <f aca="false">SUMPRODUCT(C$6:C$14,UE_Propuesta!$P$5:$P$13)</f>
        <v>205.752658</v>
      </c>
      <c r="D34" s="17" t="n">
        <f aca="false">SUMPRODUCT(D$6:D$14,UE_Propuesta!$P$5:$P$13)</f>
        <v>236.6155567</v>
      </c>
      <c r="E34" s="17" t="n">
        <f aca="false">SUMPRODUCT(E$6:E$14,UE_Propuesta!$P$5:$P$13)</f>
        <v>272.107890205</v>
      </c>
      <c r="F34" s="17" t="n">
        <f aca="false">SUMPRODUCT(F$6:F$14,UE_Propuesta!$P$5:$P$13)</f>
        <v>312.92407373575</v>
      </c>
      <c r="G34" s="17" t="n">
        <f aca="false">SUMPRODUCT(G$6:G$14,UE_Propuesta!$P$5:$P$13)</f>
        <v>359.862684796112</v>
      </c>
      <c r="H34" s="17" t="n">
        <f aca="false">SUMPRODUCT(H$6:H$14,UE_Propuesta!$P$5:$P$13)</f>
        <v>413.842087515529</v>
      </c>
      <c r="I34" s="17" t="n">
        <f aca="false">SUMPRODUCT(I$6:I$14,UE_Propuesta!$P$5:$P$13)</f>
        <v>475.918400642859</v>
      </c>
      <c r="J34" s="17" t="n">
        <f aca="false">SUMPRODUCT(J$6:J$14,UE_Propuesta!$P$5:$P$13)</f>
        <v>547.306160739287</v>
      </c>
      <c r="K34" s="17" t="n">
        <f aca="false">SUMPRODUCT(K$6:K$14,UE_Propuesta!$P$5:$P$13)</f>
        <v>629.40208485018</v>
      </c>
      <c r="L34" s="17" t="n">
        <f aca="false">SUMPRODUCT(L$6:L$14,UE_Propuesta!$P$5:$P$13)</f>
        <v>723.812397577707</v>
      </c>
      <c r="M34" s="17" t="n">
        <f aca="false">SUMPRODUCT(M$6:M$14,UE_Propuesta!$P$5:$P$13)</f>
        <v>832.384257214363</v>
      </c>
      <c r="N34" s="17" t="n">
        <f aca="false">SUMPRODUCT(N$6:N$14,UE_Propuesta!$P$5:$P$13)</f>
        <v>957.241895796518</v>
      </c>
    </row>
    <row r="35" customFormat="false" ht="15" hidden="false" customHeight="false" outlineLevel="0" collapsed="false">
      <c r="A35" s="2" t="s">
        <v>151</v>
      </c>
      <c r="C35" s="17" t="n">
        <f aca="false">SUMPRODUCT(C$6:C$14,UE_Propuesta!$Q$5:$Q$13)</f>
        <v>49.32385</v>
      </c>
      <c r="D35" s="17" t="n">
        <f aca="false">SUMPRODUCT(D$6:D$14,UE_Propuesta!$Q$5:$Q$13)</f>
        <v>56.7224275</v>
      </c>
      <c r="E35" s="17" t="n">
        <f aca="false">SUMPRODUCT(E$6:E$14,UE_Propuesta!$Q$5:$Q$13)</f>
        <v>65.230791625</v>
      </c>
      <c r="F35" s="17" t="n">
        <f aca="false">SUMPRODUCT(F$6:F$14,UE_Propuesta!$Q$5:$Q$13)</f>
        <v>75.01541036875</v>
      </c>
      <c r="G35" s="17" t="n">
        <f aca="false">SUMPRODUCT(G$6:G$14,UE_Propuesta!$Q$5:$Q$13)</f>
        <v>86.2677219240625</v>
      </c>
      <c r="H35" s="17" t="n">
        <f aca="false">SUMPRODUCT(H$6:H$14,UE_Propuesta!$Q$5:$Q$13)</f>
        <v>99.2078802126719</v>
      </c>
      <c r="I35" s="17" t="n">
        <f aca="false">SUMPRODUCT(I$6:I$14,UE_Propuesta!$Q$5:$Q$13)</f>
        <v>114.089062244573</v>
      </c>
      <c r="J35" s="17" t="n">
        <f aca="false">SUMPRODUCT(J$6:J$14,UE_Propuesta!$Q$5:$Q$13)</f>
        <v>131.202421581259</v>
      </c>
      <c r="K35" s="17" t="n">
        <f aca="false">SUMPRODUCT(K$6:K$14,UE_Propuesta!$Q$5:$Q$13)</f>
        <v>150.882784818447</v>
      </c>
      <c r="L35" s="17" t="n">
        <f aca="false">SUMPRODUCT(L$6:L$14,UE_Propuesta!$Q$5:$Q$13)</f>
        <v>173.515202541214</v>
      </c>
      <c r="M35" s="17" t="n">
        <f aca="false">SUMPRODUCT(M$6:M$14,UE_Propuesta!$Q$5:$Q$13)</f>
        <v>199.542482922397</v>
      </c>
      <c r="N35" s="17" t="n">
        <f aca="false">SUMPRODUCT(N$6:N$14,UE_Propuesta!$Q$5:$Q$13)</f>
        <v>229.473855360756</v>
      </c>
    </row>
    <row r="36" customFormat="false" ht="15" hidden="false" customHeight="false" outlineLevel="0" collapsed="false">
      <c r="A36" s="29" t="s">
        <v>186</v>
      </c>
      <c r="C36" s="18" t="n">
        <f aca="false">C33-C34-C35+C$46</f>
        <v>621.575665913044</v>
      </c>
      <c r="D36" s="18" t="n">
        <f aca="false">D33-D34-D35+D$46</f>
        <v>714.8120158</v>
      </c>
      <c r="E36" s="18" t="n">
        <f aca="false">E33-E34-E35+E$46</f>
        <v>822.03381817</v>
      </c>
      <c r="F36" s="18" t="n">
        <f aca="false">F33-F34-F35+F$46</f>
        <v>945.3388908955</v>
      </c>
      <c r="G36" s="18" t="n">
        <f aca="false">G33-G34-G35+G$46</f>
        <v>1087.13972452982</v>
      </c>
      <c r="H36" s="18" t="n">
        <f aca="false">H33-H34-H35+H$46</f>
        <v>1250.2106832093</v>
      </c>
      <c r="I36" s="18" t="n">
        <f aca="false">I33-I34-I35+I$46</f>
        <v>1437.74228569069</v>
      </c>
      <c r="J36" s="18" t="n">
        <f aca="false">J33-J34-J35+J$46</f>
        <v>1653.4036285443</v>
      </c>
      <c r="K36" s="18" t="n">
        <f aca="false">K33-K34-K35+K$46</f>
        <v>1901.41417282594</v>
      </c>
      <c r="L36" s="18" t="n">
        <f aca="false">L33-L34-L35+L$46</f>
        <v>2186.62629874983</v>
      </c>
      <c r="M36" s="18" t="n">
        <f aca="false">M33-M34-M35+M$46</f>
        <v>2514.62024356231</v>
      </c>
      <c r="N36" s="18" t="n">
        <f aca="false">N33-N34-N35+N$46</f>
        <v>2891.81328009665</v>
      </c>
    </row>
    <row r="37" customFormat="false" ht="15" hidden="false" customHeight="false" outlineLevel="0" collapsed="false">
      <c r="A37" s="2" t="s">
        <v>187</v>
      </c>
      <c r="C37" s="30" t="n">
        <f aca="false">IF(C$4=1,Parametros!$B$55+Parametros!$B$56,Parametros!$C$55+Parametros!$C$56)</f>
        <v>1936</v>
      </c>
      <c r="D37" s="30" t="n">
        <f aca="false">IF(D$4=1,Parametros!$B$55+Parametros!$B$56,Parametros!$C$55+Parametros!$C$56)</f>
        <v>1936</v>
      </c>
      <c r="E37" s="30" t="n">
        <f aca="false">IF(E$4=1,Parametros!$B$55+Parametros!$B$56,Parametros!$C$55+Parametros!$C$56)</f>
        <v>1936</v>
      </c>
      <c r="F37" s="30" t="n">
        <f aca="false">IF(F$4=1,Parametros!$B$55+Parametros!$B$56,Parametros!$C$55+Parametros!$C$56)</f>
        <v>6402</v>
      </c>
      <c r="G37" s="30" t="n">
        <f aca="false">IF(G$4=1,Parametros!$B$55+Parametros!$B$56,Parametros!$C$55+Parametros!$C$56)</f>
        <v>6402</v>
      </c>
      <c r="H37" s="30" t="n">
        <f aca="false">IF(H$4=1,Parametros!$B$55+Parametros!$B$56,Parametros!$C$55+Parametros!$C$56)</f>
        <v>6402</v>
      </c>
      <c r="I37" s="30" t="n">
        <f aca="false">IF(I$4=1,Parametros!$B$55+Parametros!$B$56,Parametros!$C$55+Parametros!$C$56)</f>
        <v>6402</v>
      </c>
      <c r="J37" s="30" t="n">
        <f aca="false">IF(J$4=1,Parametros!$B$55+Parametros!$B$56,Parametros!$C$55+Parametros!$C$56)</f>
        <v>6402</v>
      </c>
      <c r="K37" s="30" t="n">
        <f aca="false">IF(K$4=1,Parametros!$B$55+Parametros!$B$56,Parametros!$C$55+Parametros!$C$56)</f>
        <v>6402</v>
      </c>
      <c r="L37" s="30" t="n">
        <f aca="false">IF(L$4=1,Parametros!$B$55+Parametros!$B$56,Parametros!$C$55+Parametros!$C$56)</f>
        <v>6402</v>
      </c>
      <c r="M37" s="30" t="n">
        <f aca="false">IF(M$4=1,Parametros!$B$55+Parametros!$B$56,Parametros!$C$55+Parametros!$C$56)</f>
        <v>6402</v>
      </c>
      <c r="N37" s="30" t="n">
        <f aca="false">IF(N$4=1,Parametros!$B$55+Parametros!$B$56,Parametros!$C$55+Parametros!$C$56)</f>
        <v>6402</v>
      </c>
    </row>
    <row r="38" customFormat="false" ht="15" hidden="false" customHeight="false" outlineLevel="0" collapsed="false">
      <c r="A38" s="29" t="s">
        <v>188</v>
      </c>
      <c r="C38" s="18" t="n">
        <f aca="false">C36-C37</f>
        <v>-1314.42433408696</v>
      </c>
      <c r="D38" s="18" t="n">
        <f aca="false">D36-D37</f>
        <v>-1221.1879842</v>
      </c>
      <c r="E38" s="18" t="n">
        <f aca="false">E36-E37</f>
        <v>-1113.96618183</v>
      </c>
      <c r="F38" s="18" t="n">
        <f aca="false">F36-F37</f>
        <v>-5456.6611091045</v>
      </c>
      <c r="G38" s="18" t="n">
        <f aca="false">G36-G37</f>
        <v>-5314.86027547018</v>
      </c>
      <c r="H38" s="18" t="n">
        <f aca="false">H36-H37</f>
        <v>-5151.7893167907</v>
      </c>
      <c r="I38" s="18" t="n">
        <f aca="false">I36-I37</f>
        <v>-4964.25771430931</v>
      </c>
      <c r="J38" s="18" t="n">
        <f aca="false">J36-J37</f>
        <v>-4748.5963714557</v>
      </c>
      <c r="K38" s="18" t="n">
        <f aca="false">K36-K37</f>
        <v>-4500.58582717406</v>
      </c>
      <c r="L38" s="18" t="n">
        <f aca="false">L36-L37</f>
        <v>-4215.37370125017</v>
      </c>
      <c r="M38" s="18" t="n">
        <f aca="false">M36-M37</f>
        <v>-3887.37975643769</v>
      </c>
      <c r="N38" s="18" t="n">
        <f aca="false">N36-N37</f>
        <v>-3510.18671990335</v>
      </c>
    </row>
    <row r="39" customFormat="false" ht="15" hidden="false" customHeight="false" outlineLevel="0" collapsed="false">
      <c r="A39" s="2" t="s">
        <v>189</v>
      </c>
      <c r="C39" s="17" t="n">
        <f aca="false">C38</f>
        <v>-1314.42433408696</v>
      </c>
      <c r="D39" s="17" t="n">
        <f aca="false">C39+D38</f>
        <v>-2535.61231828696</v>
      </c>
      <c r="E39" s="17" t="n">
        <f aca="false">D39+E38</f>
        <v>-3649.57850011696</v>
      </c>
      <c r="F39" s="17" t="n">
        <f aca="false">E39+F38</f>
        <v>-9106.23960922146</v>
      </c>
      <c r="G39" s="17" t="n">
        <f aca="false">F39+G38</f>
        <v>-14421.0998846916</v>
      </c>
      <c r="H39" s="17" t="n">
        <f aca="false">G39+H38</f>
        <v>-19572.8892014823</v>
      </c>
      <c r="I39" s="17" t="n">
        <f aca="false">H39+I38</f>
        <v>-24537.1469157916</v>
      </c>
      <c r="J39" s="17" t="n">
        <f aca="false">I39+J38</f>
        <v>-29285.7432872473</v>
      </c>
      <c r="K39" s="17" t="n">
        <f aca="false">J39+K38</f>
        <v>-33786.3291144214</v>
      </c>
      <c r="L39" s="17" t="n">
        <f aca="false">K39+L38</f>
        <v>-38001.7028156716</v>
      </c>
      <c r="M39" s="17" t="n">
        <f aca="false">L39+M38</f>
        <v>-41889.0825721093</v>
      </c>
      <c r="N39" s="17" t="n">
        <f aca="false">M39+N38</f>
        <v>-45399.2692920126</v>
      </c>
    </row>
    <row r="40" customFormat="false" ht="15" hidden="false" customHeight="false" outlineLevel="0" collapsed="false">
      <c r="A40" s="2" t="s">
        <v>190</v>
      </c>
      <c r="C40" s="12" t="n">
        <f aca="false">IF(C32=0,0,C33/C32)</f>
        <v>0.171463252583833</v>
      </c>
      <c r="D40" s="12" t="n">
        <f aca="false">IF(D32=0,0,D33/D32)</f>
        <v>0.171463252583833</v>
      </c>
      <c r="E40" s="12" t="n">
        <f aca="false">IF(E32=0,0,E33/E32)</f>
        <v>0.171463252583833</v>
      </c>
      <c r="F40" s="12" t="n">
        <f aca="false">IF(F32=0,0,F33/F32)</f>
        <v>0.171463252583833</v>
      </c>
      <c r="G40" s="12" t="n">
        <f aca="false">IF(G32=0,0,G33/G32)</f>
        <v>0.171463252583833</v>
      </c>
      <c r="H40" s="12" t="n">
        <f aca="false">IF(H32=0,0,H33/H32)</f>
        <v>0.171463252583833</v>
      </c>
      <c r="I40" s="12" t="n">
        <f aca="false">IF(I32=0,0,I33/I32)</f>
        <v>0.171463252583833</v>
      </c>
      <c r="J40" s="12" t="n">
        <f aca="false">IF(J32=0,0,J33/J32)</f>
        <v>0.171463252583833</v>
      </c>
      <c r="K40" s="12" t="n">
        <f aca="false">IF(K32=0,0,K33/K32)</f>
        <v>0.171463252583833</v>
      </c>
      <c r="L40" s="12" t="n">
        <f aca="false">IF(L32=0,0,L33/L32)</f>
        <v>0.171463252583833</v>
      </c>
      <c r="M40" s="12" t="n">
        <f aca="false">IF(M32=0,0,M33/M32)</f>
        <v>0.171463252583833</v>
      </c>
      <c r="N40" s="12" t="n">
        <f aca="false">IF(N32=0,0,N33/N32)</f>
        <v>0.171463252583833</v>
      </c>
    </row>
    <row r="41" customFormat="false" ht="15" hidden="false" customHeight="false" outlineLevel="0" collapsed="false">
      <c r="A41" s="2" t="s">
        <v>191</v>
      </c>
      <c r="C41" s="12" t="n">
        <f aca="false">IF(C32=0,0,C36/C32)</f>
        <v>0.121573171864379</v>
      </c>
      <c r="D41" s="12" t="n">
        <f aca="false">IF(D32=0,0,D36/D32)</f>
        <v>0.121573171864379</v>
      </c>
      <c r="E41" s="12" t="n">
        <f aca="false">IF(E32=0,0,E36/E32)</f>
        <v>0.121573171864379</v>
      </c>
      <c r="F41" s="12" t="n">
        <f aca="false">IF(F32=0,0,F36/F32)</f>
        <v>0.121573171864379</v>
      </c>
      <c r="G41" s="12" t="n">
        <f aca="false">IF(G32=0,0,G36/G32)</f>
        <v>0.121573171864379</v>
      </c>
      <c r="H41" s="12" t="n">
        <f aca="false">IF(H32=0,0,H36/H32)</f>
        <v>0.121573171864379</v>
      </c>
      <c r="I41" s="12" t="n">
        <f aca="false">IF(I32=0,0,I36/I32)</f>
        <v>0.121573171864379</v>
      </c>
      <c r="J41" s="12" t="n">
        <f aca="false">IF(J32=0,0,J36/J32)</f>
        <v>0.121573171864379</v>
      </c>
      <c r="K41" s="12" t="n">
        <f aca="false">IF(K32=0,0,K36/K32)</f>
        <v>0.121573171864379</v>
      </c>
      <c r="L41" s="12" t="n">
        <f aca="false">IF(L32=0,0,L36/L32)</f>
        <v>0.121573171864379</v>
      </c>
      <c r="M41" s="12" t="n">
        <f aca="false">IF(M32=0,0,M36/M32)</f>
        <v>0.121573171864379</v>
      </c>
      <c r="N41" s="12" t="n">
        <f aca="false">IF(N32=0,0,N36/N32)</f>
        <v>0.121573171864379</v>
      </c>
    </row>
    <row r="42" customFormat="false" ht="15" hidden="false" customHeight="false" outlineLevel="0" collapsed="false">
      <c r="A42" s="2" t="s">
        <v>192</v>
      </c>
      <c r="C42" s="25" t="n">
        <f aca="false">IF(C36&lt;=0,0,C37/(C36/C$15))</f>
        <v>616.703679087763</v>
      </c>
      <c r="D42" s="25" t="n">
        <f aca="false">IF(D36&lt;=0,0,D37/(D36/D$15))</f>
        <v>616.703679087763</v>
      </c>
      <c r="E42" s="25" t="n">
        <f aca="false">IF(E36&lt;=0,0,E37/(E36/E$15))</f>
        <v>616.703679087763</v>
      </c>
      <c r="F42" s="25" t="n">
        <f aca="false">IF(F36&lt;=0,0,F37/(F36/F$15))</f>
        <v>2039.32693880158</v>
      </c>
      <c r="G42" s="25" t="n">
        <f aca="false">IF(G36&lt;=0,0,G37/(G36/G$15))</f>
        <v>2039.32693880158</v>
      </c>
      <c r="H42" s="25" t="n">
        <f aca="false">IF(H36&lt;=0,0,H37/(H36/H$15))</f>
        <v>2039.32693880158</v>
      </c>
      <c r="I42" s="25" t="n">
        <f aca="false">IF(I36&lt;=0,0,I37/(I36/I$15))</f>
        <v>2039.32693880158</v>
      </c>
      <c r="J42" s="25" t="n">
        <f aca="false">IF(J36&lt;=0,0,J37/(J36/J$15))</f>
        <v>2039.32693880158</v>
      </c>
      <c r="K42" s="25" t="n">
        <f aca="false">IF(K36&lt;=0,0,K37/(K36/K$15))</f>
        <v>2039.32693880158</v>
      </c>
      <c r="L42" s="25" t="n">
        <f aca="false">IF(L36&lt;=0,0,L37/(L36/L$15))</f>
        <v>2039.32693880158</v>
      </c>
      <c r="M42" s="25" t="n">
        <f aca="false">IF(M36&lt;=0,0,M37/(M36/M$15))</f>
        <v>2039.32693880158</v>
      </c>
      <c r="N42" s="25" t="n">
        <f aca="false">IF(N36&lt;=0,0,N37/(N36/N$15))</f>
        <v>2039.32693880158</v>
      </c>
    </row>
    <row r="43" customFormat="false" ht="15" hidden="false" customHeight="false" outlineLevel="0" collapsed="false">
      <c r="A43" s="28" t="s">
        <v>194</v>
      </c>
    </row>
    <row r="44" customFormat="false" ht="15" hidden="false" customHeight="false" outlineLevel="0" collapsed="false">
      <c r="A44" s="2" t="s">
        <v>195</v>
      </c>
      <c r="C44" s="31" t="n">
        <f aca="false">IF(C$4=2,Parametros!$C$57,0)</f>
        <v>0</v>
      </c>
      <c r="D44" s="25" t="n">
        <f aca="false">IF(D$4=2,IF(C44=0,Parametros!$C$57,C44*(1+Parametros!$D$57)),0)</f>
        <v>0</v>
      </c>
      <c r="E44" s="25" t="n">
        <f aca="false">IF(E$4=2,IF(D44=0,Parametros!$C$57,D44*(1+Parametros!$D$57)),0)</f>
        <v>0</v>
      </c>
      <c r="F44" s="25" t="n">
        <f aca="false">IF(F$4=2,IF(E44=0,Parametros!$C$57,E44*(1+Parametros!$D$57)),0)</f>
        <v>0</v>
      </c>
      <c r="G44" s="25" t="n">
        <f aca="false">IF(G$4=2,IF(F44=0,Parametros!$C$57,F44*(1+Parametros!$D$57)),0)</f>
        <v>0</v>
      </c>
      <c r="H44" s="25" t="n">
        <f aca="false">IF(H$4=2,IF(G44=0,Parametros!$C$57,G44*(1+Parametros!$D$57)),0)</f>
        <v>0</v>
      </c>
      <c r="I44" s="25" t="n">
        <f aca="false">IF(I$4=2,IF(H44=0,Parametros!$C$57,H44*(1+Parametros!$D$57)),0)</f>
        <v>0</v>
      </c>
      <c r="J44" s="25" t="n">
        <f aca="false">IF(J$4=2,IF(I44=0,Parametros!$C$57,I44*(1+Parametros!$D$57)),0)</f>
        <v>0</v>
      </c>
      <c r="K44" s="25" t="n">
        <f aca="false">IF(K$4=2,IF(J44=0,Parametros!$C$57,J44*(1+Parametros!$D$57)),0)</f>
        <v>0</v>
      </c>
      <c r="L44" s="25" t="n">
        <f aca="false">IF(L$4=2,IF(K44=0,Parametros!$C$57,K44*(1+Parametros!$D$57)),0)</f>
        <v>0</v>
      </c>
      <c r="M44" s="25" t="n">
        <f aca="false">IF(M$4=2,IF(L44=0,Parametros!$C$57,L44*(1+Parametros!$D$57)),0)</f>
        <v>0</v>
      </c>
      <c r="N44" s="25" t="n">
        <f aca="false">IF(N$4=2,IF(M44=0,Parametros!$C$57,M44*(1+Parametros!$D$57)),0)</f>
        <v>0</v>
      </c>
    </row>
    <row r="45" customFormat="false" ht="15" hidden="false" customHeight="false" outlineLevel="0" collapsed="false">
      <c r="A45" s="2" t="s">
        <v>196</v>
      </c>
      <c r="C45" s="31" t="n">
        <f aca="false">IF(C$4=2,Parametros!$C$58,0)</f>
        <v>0</v>
      </c>
      <c r="D45" s="25" t="n">
        <f aca="false">IF(D$4=2,IF(C45=0,Parametros!$C$58,C45*(1+Parametros!$D$58)),0)</f>
        <v>0</v>
      </c>
      <c r="E45" s="25" t="n">
        <f aca="false">IF(E$4=2,IF(D45=0,Parametros!$C$58,D45*(1+Parametros!$D$58)),0)</f>
        <v>0</v>
      </c>
      <c r="F45" s="25" t="n">
        <f aca="false">IF(F$4=2,IF(E45=0,Parametros!$C$58,E45*(1+Parametros!$D$58)),0)</f>
        <v>0</v>
      </c>
      <c r="G45" s="25" t="n">
        <f aca="false">IF(G$4=2,IF(F45=0,Parametros!$C$58,F45*(1+Parametros!$D$58)),0)</f>
        <v>0</v>
      </c>
      <c r="H45" s="25" t="n">
        <f aca="false">IF(H$4=2,IF(G45=0,Parametros!$C$58,G45*(1+Parametros!$D$58)),0)</f>
        <v>0</v>
      </c>
      <c r="I45" s="25" t="n">
        <f aca="false">IF(I$4=2,IF(H45=0,Parametros!$C$58,H45*(1+Parametros!$D$58)),0)</f>
        <v>0</v>
      </c>
      <c r="J45" s="25" t="n">
        <f aca="false">IF(J$4=2,IF(I45=0,Parametros!$C$58,I45*(1+Parametros!$D$58)),0)</f>
        <v>0</v>
      </c>
      <c r="K45" s="25" t="n">
        <f aca="false">IF(K$4=2,IF(J45=0,Parametros!$C$58,J45*(1+Parametros!$D$58)),0)</f>
        <v>0</v>
      </c>
      <c r="L45" s="25" t="n">
        <f aca="false">IF(L$4=2,IF(K45=0,Parametros!$C$58,K45*(1+Parametros!$D$58)),0)</f>
        <v>0</v>
      </c>
      <c r="M45" s="25" t="n">
        <f aca="false">IF(M$4=2,IF(L45=0,Parametros!$C$58,L45*(1+Parametros!$D$58)),0)</f>
        <v>0</v>
      </c>
      <c r="N45" s="25" t="n">
        <f aca="false">IF(N$4=2,IF(M45=0,Parametros!$C$58,M45*(1+Parametros!$D$58)),0)</f>
        <v>0</v>
      </c>
    </row>
    <row r="46" customFormat="false" ht="15" hidden="false" customHeight="false" outlineLevel="0" collapsed="false">
      <c r="A46" s="2" t="s">
        <v>197</v>
      </c>
      <c r="C46" s="17" t="n">
        <f aca="false">(C44*Parametros!$B$57+C45*Parametros!$B$58)/(1+Parametros!$B$21)</f>
        <v>0</v>
      </c>
      <c r="D46" s="17" t="n">
        <f aca="false">(D44*Parametros!$B$57+D45*Parametros!$B$58)/(1+Parametros!$B$21)</f>
        <v>0</v>
      </c>
      <c r="E46" s="17" t="n">
        <f aca="false">(E44*Parametros!$B$57+E45*Parametros!$B$58)/(1+Parametros!$B$21)</f>
        <v>0</v>
      </c>
      <c r="F46" s="17" t="n">
        <f aca="false">(F44*Parametros!$B$57+F45*Parametros!$B$58)/(1+Parametros!$B$21)</f>
        <v>0</v>
      </c>
      <c r="G46" s="17" t="n">
        <f aca="false">(G44*Parametros!$B$57+G45*Parametros!$B$58)/(1+Parametros!$B$21)</f>
        <v>0</v>
      </c>
      <c r="H46" s="17" t="n">
        <f aca="false">(H44*Parametros!$B$57+H45*Parametros!$B$58)/(1+Parametros!$B$21)</f>
        <v>0</v>
      </c>
      <c r="I46" s="17" t="n">
        <f aca="false">(I44*Parametros!$B$57+I45*Parametros!$B$58)/(1+Parametros!$B$21)</f>
        <v>0</v>
      </c>
      <c r="J46" s="17" t="n">
        <f aca="false">(J44*Parametros!$B$57+J45*Parametros!$B$58)/(1+Parametros!$B$21)</f>
        <v>0</v>
      </c>
      <c r="K46" s="17" t="n">
        <f aca="false">(K44*Parametros!$B$57+K45*Parametros!$B$58)/(1+Parametros!$B$21)</f>
        <v>0</v>
      </c>
      <c r="L46" s="17" t="n">
        <f aca="false">(L44*Parametros!$B$57+L45*Parametros!$B$58)/(1+Parametros!$B$21)</f>
        <v>0</v>
      </c>
      <c r="M46" s="17" t="n">
        <f aca="false">(M44*Parametros!$B$57+M45*Parametros!$B$58)/(1+Parametros!$B$21)</f>
        <v>0</v>
      </c>
      <c r="N46" s="17" t="n">
        <f aca="false">(N44*Parametros!$B$57+N45*Parametros!$B$58)/(1+Parametros!$B$21)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"/>
    <col collapsed="false" customWidth="true" hidden="false" outlineLevel="0" max="14" min="3" style="0" width="11"/>
  </cols>
  <sheetData>
    <row r="1" customFormat="false" ht="16.1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35.05" hidden="false" customHeight="false" outlineLevel="0" collapsed="false">
      <c r="A4" s="3" t="s">
        <v>200</v>
      </c>
      <c r="B4" s="3" t="s">
        <v>169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  <c r="I4" s="3" t="s">
        <v>176</v>
      </c>
      <c r="J4" s="3" t="s">
        <v>177</v>
      </c>
      <c r="K4" s="3" t="s">
        <v>178</v>
      </c>
      <c r="L4" s="3" t="s">
        <v>179</v>
      </c>
      <c r="M4" s="3" t="s">
        <v>180</v>
      </c>
    </row>
    <row r="5" customFormat="false" ht="15" hidden="false" customHeight="false" outlineLevel="0" collapsed="false">
      <c r="A5" s="2" t="s">
        <v>201</v>
      </c>
      <c r="C5" s="17" t="n">
        <f aca="false">SUMPRODUCT(PyL_mensual!C$6:C$14,UE_Propuesta!$U$5:$U$13)</f>
        <v>45.5694260869565</v>
      </c>
      <c r="D5" s="17" t="n">
        <f aca="false">SUMPRODUCT(PyL_mensual!D$6:D$14,UE_Propuesta!$U$5:$U$13)</f>
        <v>52.40484</v>
      </c>
      <c r="E5" s="17" t="n">
        <f aca="false">SUMPRODUCT(PyL_mensual!E$6:E$14,UE_Propuesta!$U$5:$U$13)</f>
        <v>60.265566</v>
      </c>
      <c r="F5" s="17" t="n">
        <f aca="false">SUMPRODUCT(PyL_mensual!F$6:F$14,UE_Propuesta!$U$5:$U$13)</f>
        <v>69.3054009</v>
      </c>
      <c r="G5" s="17" t="n">
        <f aca="false">SUMPRODUCT(PyL_mensual!G$6:G$14,UE_Propuesta!$U$5:$U$13)</f>
        <v>79.701211035</v>
      </c>
      <c r="H5" s="17" t="n">
        <f aca="false">SUMPRODUCT(PyL_mensual!H$6:H$14,UE_Propuesta!$U$5:$U$13)</f>
        <v>91.65639269025</v>
      </c>
      <c r="I5" s="17" t="n">
        <f aca="false">SUMPRODUCT(PyL_mensual!I$6:I$14,UE_Propuesta!$U$5:$U$13)</f>
        <v>105.404851593787</v>
      </c>
      <c r="J5" s="17" t="n">
        <f aca="false">SUMPRODUCT(PyL_mensual!J$6:J$14,UE_Propuesta!$U$5:$U$13)</f>
        <v>121.215579332856</v>
      </c>
      <c r="K5" s="17" t="n">
        <f aca="false">SUMPRODUCT(PyL_mensual!K$6:K$14,UE_Propuesta!$U$5:$U$13)</f>
        <v>139.397916232784</v>
      </c>
      <c r="L5" s="17" t="n">
        <f aca="false">SUMPRODUCT(PyL_mensual!L$6:L$14,UE_Propuesta!$U$5:$U$13)</f>
        <v>160.307603667701</v>
      </c>
      <c r="M5" s="17" t="n">
        <f aca="false">SUMPRODUCT(PyL_mensual!M$6:M$14,UE_Propuesta!$U$5:$U$13)</f>
        <v>184.353744217857</v>
      </c>
      <c r="N5" s="17" t="n">
        <f aca="false">SUMPRODUCT(PyL_mensual!N$6:N$14,UE_Propuesta!$U$5:$U$13)</f>
        <v>212.006805850535</v>
      </c>
    </row>
    <row r="6" customFormat="false" ht="15" hidden="false" customHeight="false" outlineLevel="0" collapsed="false">
      <c r="A6" s="2" t="s">
        <v>202</v>
      </c>
      <c r="C6" s="17" t="n">
        <f aca="false">SUMPRODUCT(PyL_mensual!C$6:C$14,UE_Propuesta!$V$5:$V$13)</f>
        <v>128.593486956522</v>
      </c>
      <c r="D6" s="17" t="n">
        <f aca="false">SUMPRODUCT(PyL_mensual!D$6:D$14,UE_Propuesta!$V$5:$V$13)</f>
        <v>147.88251</v>
      </c>
      <c r="E6" s="17" t="n">
        <f aca="false">SUMPRODUCT(PyL_mensual!E$6:E$14,UE_Propuesta!$V$5:$V$13)</f>
        <v>170.0648865</v>
      </c>
      <c r="F6" s="17" t="n">
        <f aca="false">SUMPRODUCT(PyL_mensual!F$6:F$14,UE_Propuesta!$V$5:$V$13)</f>
        <v>195.574619475</v>
      </c>
      <c r="G6" s="17" t="n">
        <f aca="false">SUMPRODUCT(PyL_mensual!G$6:G$14,UE_Propuesta!$V$5:$V$13)</f>
        <v>224.91081239625</v>
      </c>
      <c r="H6" s="17" t="n">
        <f aca="false">SUMPRODUCT(PyL_mensual!H$6:H$14,UE_Propuesta!$V$5:$V$13)</f>
        <v>258.647434255687</v>
      </c>
      <c r="I6" s="17" t="n">
        <f aca="false">SUMPRODUCT(PyL_mensual!I$6:I$14,UE_Propuesta!$V$5:$V$13)</f>
        <v>297.44454939404</v>
      </c>
      <c r="J6" s="17" t="n">
        <f aca="false">SUMPRODUCT(PyL_mensual!J$6:J$14,UE_Propuesta!$V$5:$V$13)</f>
        <v>342.061231803147</v>
      </c>
      <c r="K6" s="17" t="n">
        <f aca="false">SUMPRODUCT(PyL_mensual!K$6:K$14,UE_Propuesta!$V$5:$V$13)</f>
        <v>393.370416573618</v>
      </c>
      <c r="L6" s="17" t="n">
        <f aca="false">SUMPRODUCT(PyL_mensual!L$6:L$14,UE_Propuesta!$V$5:$V$13)</f>
        <v>452.375979059661</v>
      </c>
      <c r="M6" s="17" t="n">
        <f aca="false">SUMPRODUCT(PyL_mensual!M$6:M$14,UE_Propuesta!$V$5:$V$13)</f>
        <v>520.23237591861</v>
      </c>
      <c r="N6" s="17" t="n">
        <f aca="false">SUMPRODUCT(PyL_mensual!N$6:N$14,UE_Propuesta!$V$5:$V$13)</f>
        <v>598.267232306402</v>
      </c>
    </row>
    <row r="7" customFormat="false" ht="15" hidden="false" customHeight="false" outlineLevel="0" collapsed="false">
      <c r="A7" s="2" t="s">
        <v>203</v>
      </c>
      <c r="C7" s="17" t="n">
        <f aca="false">SUMPRODUCT(PyL_mensual!C$6:C$14,UE_Propuesta!$W$5:$W$13)</f>
        <v>188.739514036957</v>
      </c>
      <c r="D7" s="17" t="n">
        <f aca="false">SUMPRODUCT(PyL_mensual!D$6:D$14,UE_Propuesta!$W$5:$W$13)</f>
        <v>217.0504411425</v>
      </c>
      <c r="E7" s="17" t="n">
        <f aca="false">SUMPRODUCT(PyL_mensual!E$6:E$14,UE_Propuesta!$W$5:$W$13)</f>
        <v>249.608007313875</v>
      </c>
      <c r="F7" s="17" t="n">
        <f aca="false">SUMPRODUCT(PyL_mensual!F$6:F$14,UE_Propuesta!$W$5:$W$13)</f>
        <v>287.049208410956</v>
      </c>
      <c r="G7" s="17" t="n">
        <f aca="false">SUMPRODUCT(PyL_mensual!G$6:G$14,UE_Propuesta!$W$5:$W$13)</f>
        <v>330.1065896726</v>
      </c>
      <c r="H7" s="17" t="n">
        <f aca="false">SUMPRODUCT(PyL_mensual!H$6:H$14,UE_Propuesta!$W$5:$W$13)</f>
        <v>379.622578123489</v>
      </c>
      <c r="I7" s="17" t="n">
        <f aca="false">SUMPRODUCT(PyL_mensual!I$6:I$14,UE_Propuesta!$W$5:$W$13)</f>
        <v>436.565964842013</v>
      </c>
      <c r="J7" s="17" t="n">
        <f aca="false">SUMPRODUCT(PyL_mensual!J$6:J$14,UE_Propuesta!$W$5:$W$13)</f>
        <v>502.050859568315</v>
      </c>
      <c r="K7" s="17" t="n">
        <f aca="false">SUMPRODUCT(PyL_mensual!K$6:K$14,UE_Propuesta!$W$5:$W$13)</f>
        <v>577.358488503562</v>
      </c>
      <c r="L7" s="17" t="n">
        <f aca="false">SUMPRODUCT(PyL_mensual!L$6:L$14,UE_Propuesta!$W$5:$W$13)</f>
        <v>663.962261779096</v>
      </c>
      <c r="M7" s="17" t="n">
        <f aca="false">SUMPRODUCT(PyL_mensual!M$6:M$14,UE_Propuesta!$W$5:$W$13)</f>
        <v>763.556601045961</v>
      </c>
      <c r="N7" s="17" t="n">
        <f aca="false">SUMPRODUCT(PyL_mensual!N$6:N$14,UE_Propuesta!$W$5:$W$13)</f>
        <v>878.090091202855</v>
      </c>
    </row>
    <row r="8" customFormat="false" ht="15" hidden="false" customHeight="false" outlineLevel="0" collapsed="false">
      <c r="A8" s="2" t="s">
        <v>204</v>
      </c>
      <c r="C8" s="17" t="n">
        <f aca="false">MAX(C6-MAX(C7,0),0)</f>
        <v>0</v>
      </c>
      <c r="D8" s="17" t="n">
        <f aca="false">MAX(D6-MAX(D7,0),0)</f>
        <v>0</v>
      </c>
      <c r="E8" s="17" t="n">
        <f aca="false">MAX(E6-MAX(E7,0),0)</f>
        <v>0</v>
      </c>
      <c r="F8" s="17" t="n">
        <f aca="false">MAX(F6-MAX(F7,0),0)</f>
        <v>0</v>
      </c>
      <c r="G8" s="17" t="n">
        <f aca="false">MAX(G6-MAX(G7,0),0)</f>
        <v>0</v>
      </c>
      <c r="H8" s="17" t="n">
        <f aca="false">MAX(H6-MAX(H7,0),0)</f>
        <v>0</v>
      </c>
      <c r="I8" s="17" t="n">
        <f aca="false">MAX(I6-MAX(I7,0),0)</f>
        <v>0</v>
      </c>
      <c r="J8" s="17" t="n">
        <f aca="false">MAX(J6-MAX(J7,0),0)</f>
        <v>0</v>
      </c>
      <c r="K8" s="17" t="n">
        <f aca="false">MAX(K6-MAX(K7,0),0)</f>
        <v>0</v>
      </c>
      <c r="L8" s="17" t="n">
        <f aca="false">MAX(L6-MAX(L7,0),0)</f>
        <v>0</v>
      </c>
      <c r="M8" s="17" t="n">
        <f aca="false">MAX(M6-MAX(M7,0),0)</f>
        <v>0</v>
      </c>
      <c r="N8" s="17" t="n">
        <f aca="false">MAX(N6-MAX(N7,0),0)</f>
        <v>0</v>
      </c>
    </row>
    <row r="9" customFormat="false" ht="15" hidden="false" customHeight="false" outlineLevel="0" collapsed="false">
      <c r="A9" s="2" t="s">
        <v>205</v>
      </c>
      <c r="C9" s="17" t="n">
        <f aca="false">MAX(C7-C6,0)</f>
        <v>60.1460270804348</v>
      </c>
      <c r="D9" s="17" t="n">
        <f aca="false">MAX(D7-D6,0)</f>
        <v>69.1679311425</v>
      </c>
      <c r="E9" s="17" t="n">
        <f aca="false">MAX(E7-E6,0)</f>
        <v>79.543120813875</v>
      </c>
      <c r="F9" s="17" t="n">
        <f aca="false">MAX(F7-F6,0)</f>
        <v>91.4745889359562</v>
      </c>
      <c r="G9" s="17" t="n">
        <f aca="false">MAX(G7-G6,0)</f>
        <v>105.19577727635</v>
      </c>
      <c r="H9" s="17" t="n">
        <f aca="false">MAX(H7-H6,0)</f>
        <v>120.975143867802</v>
      </c>
      <c r="I9" s="17" t="n">
        <f aca="false">MAX(I7-I6,0)</f>
        <v>139.121415447972</v>
      </c>
      <c r="J9" s="17" t="n">
        <f aca="false">MAX(J7-J6,0)</f>
        <v>159.989627765168</v>
      </c>
      <c r="K9" s="17" t="n">
        <f aca="false">MAX(K7-K6,0)</f>
        <v>183.988071929944</v>
      </c>
      <c r="L9" s="17" t="n">
        <f aca="false">MAX(L7-L6,0)</f>
        <v>211.586282719435</v>
      </c>
      <c r="M9" s="17" t="n">
        <f aca="false">MAX(M7-M6,0)</f>
        <v>243.32422512735</v>
      </c>
      <c r="N9" s="17" t="n">
        <f aca="false">MAX(N7-N6,0)</f>
        <v>279.822858896453</v>
      </c>
    </row>
    <row r="10" customFormat="false" ht="15" hidden="false" customHeight="false" outlineLevel="0" collapsed="false">
      <c r="A10" s="2" t="s">
        <v>206</v>
      </c>
      <c r="C10" s="17" t="n">
        <f aca="false">C8</f>
        <v>0</v>
      </c>
      <c r="D10" s="17" t="n">
        <f aca="false">C10+D8</f>
        <v>0</v>
      </c>
      <c r="E10" s="17" t="n">
        <f aca="false">D10+E8</f>
        <v>0</v>
      </c>
      <c r="F10" s="17" t="n">
        <f aca="false">E10+F8</f>
        <v>0</v>
      </c>
      <c r="G10" s="17" t="n">
        <f aca="false">F10+G8</f>
        <v>0</v>
      </c>
      <c r="H10" s="17" t="n">
        <f aca="false">G10+H8</f>
        <v>0</v>
      </c>
      <c r="I10" s="17" t="n">
        <f aca="false">H10+I8</f>
        <v>0</v>
      </c>
      <c r="J10" s="17" t="n">
        <f aca="false">I10+J8</f>
        <v>0</v>
      </c>
      <c r="K10" s="17" t="n">
        <f aca="false">J10+K8</f>
        <v>0</v>
      </c>
      <c r="L10" s="17" t="n">
        <f aca="false">K10+L8</f>
        <v>0</v>
      </c>
      <c r="M10" s="17" t="n">
        <f aca="false">L10+M8</f>
        <v>0</v>
      </c>
      <c r="N10" s="17" t="n">
        <f aca="false">M10+N8</f>
        <v>0</v>
      </c>
    </row>
    <row r="11" customFormat="false" ht="15" hidden="false" customHeight="false" outlineLevel="0" collapsed="false">
      <c r="A11" s="2" t="s">
        <v>207</v>
      </c>
      <c r="C11" s="17" t="n">
        <f aca="false">0</f>
        <v>0</v>
      </c>
      <c r="D11" s="17" t="n">
        <f aca="false">0</f>
        <v>0</v>
      </c>
      <c r="E11" s="17" t="n">
        <f aca="false">0</f>
        <v>0</v>
      </c>
      <c r="F11" s="17" t="n">
        <f aca="false">0</f>
        <v>0</v>
      </c>
      <c r="G11" s="17" t="n">
        <f aca="false">0</f>
        <v>0</v>
      </c>
      <c r="H11" s="17" t="n">
        <f aca="false">0</f>
        <v>0</v>
      </c>
      <c r="I11" s="17" t="n">
        <f aca="false">0</f>
        <v>0</v>
      </c>
      <c r="J11" s="17" t="n">
        <f aca="false">C8</f>
        <v>0</v>
      </c>
      <c r="K11" s="17" t="n">
        <f aca="false">D8</f>
        <v>0</v>
      </c>
      <c r="L11" s="17" t="n">
        <f aca="false">E8</f>
        <v>0</v>
      </c>
      <c r="M11" s="17" t="n">
        <f aca="false">F8</f>
        <v>0</v>
      </c>
      <c r="N11" s="17" t="n">
        <f aca="false">G8</f>
        <v>0</v>
      </c>
    </row>
    <row r="12" customFormat="false" ht="15" hidden="false" customHeight="false" outlineLevel="0" collapsed="false">
      <c r="A12" s="29" t="s">
        <v>208</v>
      </c>
      <c r="C12" s="18" t="n">
        <f aca="false">C10-SUM($C$11:C11)</f>
        <v>0</v>
      </c>
      <c r="D12" s="18" t="n">
        <f aca="false">D10-SUM($C$11:D11)</f>
        <v>0</v>
      </c>
      <c r="E12" s="18" t="n">
        <f aca="false">E10-SUM($C$11:E11)</f>
        <v>0</v>
      </c>
      <c r="F12" s="18" t="n">
        <f aca="false">F10-SUM($C$11:F11)</f>
        <v>0</v>
      </c>
      <c r="G12" s="18" t="n">
        <f aca="false">G10-SUM($C$11:G11)</f>
        <v>0</v>
      </c>
      <c r="H12" s="18" t="n">
        <f aca="false">H10-SUM($C$11:H11)</f>
        <v>0</v>
      </c>
      <c r="I12" s="18" t="n">
        <f aca="false">I10-SUM($C$11:I11)</f>
        <v>0</v>
      </c>
      <c r="J12" s="18" t="n">
        <f aca="false">J10-SUM($C$11:J11)</f>
        <v>0</v>
      </c>
      <c r="K12" s="18" t="n">
        <f aca="false">K10-SUM($C$11:K11)</f>
        <v>0</v>
      </c>
      <c r="L12" s="18" t="n">
        <f aca="false">L10-SUM($C$11:L11)</f>
        <v>0</v>
      </c>
      <c r="M12" s="18" t="n">
        <f aca="false">M10-SUM($C$11:M11)</f>
        <v>0</v>
      </c>
      <c r="N12" s="18" t="n">
        <f aca="false">N10-SUM($C$11:N11)</f>
        <v>0</v>
      </c>
    </row>
    <row r="13" customFormat="false" ht="15" hidden="false" customHeight="false" outlineLevel="0" collapsed="false">
      <c r="A13" s="2" t="s">
        <v>209</v>
      </c>
      <c r="C13" s="17" t="n">
        <f aca="false">C5</f>
        <v>45.5694260869565</v>
      </c>
      <c r="D13" s="17" t="n">
        <f aca="false">C13+D5</f>
        <v>97.9742660869565</v>
      </c>
      <c r="E13" s="17" t="n">
        <f aca="false">D13+E5</f>
        <v>158.239832086957</v>
      </c>
      <c r="F13" s="17" t="n">
        <f aca="false">E13+F5</f>
        <v>227.545232986957</v>
      </c>
      <c r="G13" s="17" t="n">
        <f aca="false">F13+G5</f>
        <v>307.246444021957</v>
      </c>
      <c r="H13" s="17" t="n">
        <f aca="false">G13+H5</f>
        <v>398.902836712206</v>
      </c>
      <c r="I13" s="17" t="n">
        <f aca="false">H13+I5</f>
        <v>504.307688305994</v>
      </c>
      <c r="J13" s="17" t="n">
        <f aca="false">I13+J5</f>
        <v>625.52326763885</v>
      </c>
      <c r="K13" s="17" t="n">
        <f aca="false">J13+K5</f>
        <v>764.921183871633</v>
      </c>
      <c r="L13" s="17" t="n">
        <f aca="false">K13+L5</f>
        <v>925.228787539335</v>
      </c>
      <c r="M13" s="17" t="n">
        <f aca="false">L13+M5</f>
        <v>1109.58253175719</v>
      </c>
      <c r="N13" s="17" t="n">
        <f aca="false">M13+N5</f>
        <v>1321.58933760773</v>
      </c>
    </row>
    <row r="14" customFormat="false" ht="15" hidden="false" customHeight="false" outlineLevel="0" collapsed="false">
      <c r="A14" s="29" t="s">
        <v>210</v>
      </c>
      <c r="C14" s="18" t="n">
        <f aca="false">C12+C13</f>
        <v>45.5694260869565</v>
      </c>
      <c r="D14" s="18" t="n">
        <f aca="false">D12+D13</f>
        <v>97.9742660869565</v>
      </c>
      <c r="E14" s="18" t="n">
        <f aca="false">E12+E13</f>
        <v>158.239832086957</v>
      </c>
      <c r="F14" s="18" t="n">
        <f aca="false">F12+F13</f>
        <v>227.545232986957</v>
      </c>
      <c r="G14" s="18" t="n">
        <f aca="false">G12+G13</f>
        <v>307.246444021957</v>
      </c>
      <c r="H14" s="18" t="n">
        <f aca="false">H12+H13</f>
        <v>398.902836712206</v>
      </c>
      <c r="I14" s="18" t="n">
        <f aca="false">I12+I13</f>
        <v>504.307688305994</v>
      </c>
      <c r="J14" s="18" t="n">
        <f aca="false">J12+J13</f>
        <v>625.52326763885</v>
      </c>
      <c r="K14" s="18" t="n">
        <f aca="false">K12+K13</f>
        <v>764.921183871633</v>
      </c>
      <c r="L14" s="18" t="n">
        <f aca="false">L12+L13</f>
        <v>925.228787539335</v>
      </c>
      <c r="M14" s="18" t="n">
        <f aca="false">M12+M13</f>
        <v>1109.58253175719</v>
      </c>
      <c r="N14" s="18" t="n">
        <f aca="false">N12+N13</f>
        <v>1321.58933760773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2026-09-10T17:09:36Z</dcterms:created>
  <dc:creator>openpyxl</dc:creator>
  <dc:description/>
  <dc:language>en-US</dc:language>
  <cp:lastModifiedBy/>
  <dcterms:modified xsi:type="dcterms:W3CDTF">2026-09-10T17:09:36Z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